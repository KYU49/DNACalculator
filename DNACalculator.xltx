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bin2cg\OneDrive - Daiichi Sankyo Global\hibin2cg\Manual\"/>
    </mc:Choice>
  </mc:AlternateContent>
  <xr:revisionPtr revIDLastSave="0" documentId="13_ncr:1_{07A4FF4D-B44E-4DD8-9DE0-D61B56D7A537}" xr6:coauthVersionLast="47" xr6:coauthVersionMax="47" xr10:uidLastSave="{00000000-0000-0000-0000-000000000000}"/>
  <bookViews>
    <workbookView xWindow="43080" yWindow="-120" windowWidth="29040" windowHeight="15840" xr2:uid="{00000000-000D-0000-FFFF-FFFF00000000}"/>
  </bookViews>
  <sheets>
    <sheet name="Calc" sheetId="10" r:id="rId1"/>
    <sheet name="PCR (Dash)" sheetId="6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0" l="1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6" i="10"/>
  <c r="BP6" i="10"/>
  <c r="BQ6" i="10"/>
  <c r="BT6" i="10"/>
  <c r="CB6" i="10"/>
  <c r="CC6" i="10"/>
  <c r="CD6" i="10"/>
  <c r="BP7" i="10"/>
  <c r="BQ7" i="10"/>
  <c r="BT7" i="10"/>
  <c r="CB7" i="10"/>
  <c r="CC7" i="10"/>
  <c r="CD7" i="10"/>
  <c r="BK11" i="10"/>
  <c r="BL11" i="10"/>
  <c r="BM11" i="10"/>
  <c r="BN11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D35" i="10" a="1"/>
  <c r="D35" i="10" s="1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O34" i="10" s="1"/>
  <c r="D34" i="10" a="1"/>
  <c r="D34" i="10" s="1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D33" i="10" a="1"/>
  <c r="D33" i="10" s="1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V32" i="10"/>
  <c r="U32" i="10"/>
  <c r="T32" i="10"/>
  <c r="S32" i="10"/>
  <c r="R32" i="10"/>
  <c r="Q32" i="10"/>
  <c r="D32" i="10" a="1"/>
  <c r="D32" i="10" s="1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D31" i="10" a="1"/>
  <c r="D31" i="10" s="1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D30" i="10" a="1"/>
  <c r="D30" i="10" s="1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D29" i="10" a="1"/>
  <c r="D29" i="10" s="1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D28" i="10" a="1"/>
  <c r="D28" i="10" s="1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D27" i="10" a="1"/>
  <c r="D27" i="10" s="1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D26" i="10" a="1"/>
  <c r="D26" i="10" s="1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D25" i="10" a="1"/>
  <c r="D25" i="10" s="1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D24" i="10" a="1"/>
  <c r="D24" i="10" s="1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D23" i="10" a="1"/>
  <c r="D23" i="10" s="1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I22" i="10" s="1"/>
  <c r="D22" i="10" a="1"/>
  <c r="D22" i="10" s="1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D21" i="10" a="1"/>
  <c r="D21" i="10" s="1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D20" i="10" a="1"/>
  <c r="D20" i="10" s="1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D19" i="10" a="1"/>
  <c r="D19" i="10" s="1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D18" i="10" a="1"/>
  <c r="D18" i="10" s="1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D17" i="10" a="1"/>
  <c r="D17" i="10" s="1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D16" i="10" a="1"/>
  <c r="D16" i="10" s="1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D15" i="10" a="1"/>
  <c r="D15" i="10" s="1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D14" i="10" a="1"/>
  <c r="D14" i="10" s="1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D13" i="10" a="1"/>
  <c r="D13" i="10" s="1"/>
  <c r="D7" i="10" a="1"/>
  <c r="D7" i="10" s="1"/>
  <c r="D8" i="10" a="1"/>
  <c r="D8" i="10" s="1"/>
  <c r="AW8" i="10" s="1"/>
  <c r="D9" i="10" a="1"/>
  <c r="D9" i="10" s="1"/>
  <c r="D10" i="10" a="1"/>
  <c r="D10" i="10" s="1"/>
  <c r="D11" i="10" a="1"/>
  <c r="D11" i="10" s="1"/>
  <c r="D12" i="10" a="1"/>
  <c r="D12" i="10" s="1"/>
  <c r="AT12" i="10" s="1"/>
  <c r="D36" i="10" a="1"/>
  <c r="D36" i="10" s="1"/>
  <c r="D37" i="10" a="1"/>
  <c r="D37" i="10" s="1"/>
  <c r="D38" i="10" a="1"/>
  <c r="D38" i="10" s="1"/>
  <c r="D39" i="10" a="1"/>
  <c r="D39" i="10" s="1"/>
  <c r="D40" i="10" a="1"/>
  <c r="D40" i="10" s="1"/>
  <c r="D41" i="10" a="1"/>
  <c r="D41" i="10" s="1"/>
  <c r="AR41" i="10" s="1"/>
  <c r="D42" i="10" a="1"/>
  <c r="D42" i="10" s="1"/>
  <c r="D43" i="10" a="1"/>
  <c r="D43" i="10" s="1"/>
  <c r="D44" i="10" a="1"/>
  <c r="D44" i="10" s="1"/>
  <c r="D45" i="10" a="1"/>
  <c r="D45" i="10" s="1"/>
  <c r="D46" i="10" a="1"/>
  <c r="D46" i="10" s="1"/>
  <c r="D47" i="10" a="1"/>
  <c r="D47" i="10" s="1"/>
  <c r="AT47" i="10" s="1"/>
  <c r="D48" i="10" a="1"/>
  <c r="D48" i="10" s="1"/>
  <c r="D49" i="10" a="1"/>
  <c r="D49" i="10" s="1"/>
  <c r="D50" i="10" a="1"/>
  <c r="D50" i="10" s="1"/>
  <c r="D51" i="10" a="1"/>
  <c r="D51" i="10" s="1"/>
  <c r="D52" i="10" a="1"/>
  <c r="D52" i="10" s="1"/>
  <c r="D53" i="10" a="1"/>
  <c r="D53" i="10" s="1"/>
  <c r="D54" i="10" a="1"/>
  <c r="D54" i="10" s="1"/>
  <c r="D55" i="10" a="1"/>
  <c r="D55" i="10" s="1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R6" i="10"/>
  <c r="S6" i="10"/>
  <c r="T6" i="10"/>
  <c r="Q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D6" i="10" a="1"/>
  <c r="D6" i="10" s="1"/>
  <c r="AO6" i="10" s="1"/>
  <c r="I35" i="10" l="1"/>
  <c r="M35" i="10"/>
  <c r="M20" i="10"/>
  <c r="M17" i="10"/>
  <c r="M32" i="10"/>
  <c r="I13" i="10"/>
  <c r="O18" i="10"/>
  <c r="M29" i="10"/>
  <c r="I19" i="10"/>
  <c r="O31" i="10"/>
  <c r="F26" i="10"/>
  <c r="G26" i="10" s="1"/>
  <c r="M23" i="10"/>
  <c r="O24" i="10"/>
  <c r="M14" i="10"/>
  <c r="O25" i="10"/>
  <c r="F19" i="10"/>
  <c r="G19" i="10" s="1"/>
  <c r="I16" i="10"/>
  <c r="M26" i="10"/>
  <c r="O27" i="10"/>
  <c r="I28" i="10"/>
  <c r="I55" i="10"/>
  <c r="I25" i="10"/>
  <c r="N27" i="10"/>
  <c r="F34" i="10"/>
  <c r="G34" i="10" s="1"/>
  <c r="F13" i="10"/>
  <c r="G13" i="10" s="1"/>
  <c r="F20" i="10"/>
  <c r="G20" i="10" s="1"/>
  <c r="N21" i="10"/>
  <c r="F28" i="10"/>
  <c r="G28" i="10" s="1"/>
  <c r="O33" i="10"/>
  <c r="O52" i="10"/>
  <c r="F14" i="10"/>
  <c r="G14" i="10" s="1"/>
  <c r="O19" i="10"/>
  <c r="I34" i="10"/>
  <c r="F35" i="10"/>
  <c r="G35" i="10" s="1"/>
  <c r="H35" i="10" s="1"/>
  <c r="O54" i="10"/>
  <c r="N15" i="10"/>
  <c r="F22" i="10"/>
  <c r="G22" i="10" s="1"/>
  <c r="H22" i="10" s="1"/>
  <c r="F29" i="10"/>
  <c r="G29" i="10" s="1"/>
  <c r="O13" i="10"/>
  <c r="N30" i="10"/>
  <c r="M34" i="10"/>
  <c r="F16" i="10"/>
  <c r="G16" i="10" s="1"/>
  <c r="O21" i="10"/>
  <c r="F23" i="10"/>
  <c r="G23" i="10" s="1"/>
  <c r="O28" i="10"/>
  <c r="N24" i="10"/>
  <c r="F31" i="10"/>
  <c r="G31" i="10" s="1"/>
  <c r="O15" i="10"/>
  <c r="F17" i="10"/>
  <c r="G17" i="10" s="1"/>
  <c r="O22" i="10"/>
  <c r="N18" i="10"/>
  <c r="F25" i="10"/>
  <c r="G25" i="10" s="1"/>
  <c r="O30" i="10"/>
  <c r="F32" i="10"/>
  <c r="G32" i="10" s="1"/>
  <c r="O39" i="10"/>
  <c r="O16" i="10"/>
  <c r="I31" i="10"/>
  <c r="N33" i="10"/>
  <c r="AZ15" i="10"/>
  <c r="AY15" i="10"/>
  <c r="AX15" i="10"/>
  <c r="AW15" i="10"/>
  <c r="BH15" i="10"/>
  <c r="AV15" i="10"/>
  <c r="BG15" i="10"/>
  <c r="AU15" i="10"/>
  <c r="AP15" i="10"/>
  <c r="BF15" i="10"/>
  <c r="AT15" i="10"/>
  <c r="BA15" i="10"/>
  <c r="BE15" i="10"/>
  <c r="AS15" i="10"/>
  <c r="BD15" i="10"/>
  <c r="AR15" i="10"/>
  <c r="BB15" i="10"/>
  <c r="AO15" i="10"/>
  <c r="BC15" i="10"/>
  <c r="AQ15" i="10"/>
  <c r="BD16" i="10"/>
  <c r="AR16" i="10"/>
  <c r="BC16" i="10"/>
  <c r="AQ16" i="10"/>
  <c r="BB16" i="10"/>
  <c r="AP16" i="10"/>
  <c r="BA16" i="10"/>
  <c r="AO16" i="10"/>
  <c r="AZ16" i="10"/>
  <c r="AY16" i="10"/>
  <c r="AX16" i="10"/>
  <c r="AW16" i="10"/>
  <c r="BH16" i="10"/>
  <c r="AV16" i="10"/>
  <c r="AT16" i="10"/>
  <c r="BE16" i="10"/>
  <c r="AS16" i="10"/>
  <c r="BG16" i="10"/>
  <c r="AU16" i="10"/>
  <c r="BF16" i="10"/>
  <c r="BH23" i="10"/>
  <c r="AV23" i="10"/>
  <c r="BG23" i="10"/>
  <c r="AU23" i="10"/>
  <c r="AW23" i="10"/>
  <c r="BF23" i="10"/>
  <c r="AT23" i="10"/>
  <c r="BE23" i="10"/>
  <c r="AS23" i="10"/>
  <c r="BD23" i="10"/>
  <c r="AR23" i="10"/>
  <c r="BC23" i="10"/>
  <c r="AQ23" i="10"/>
  <c r="BB23" i="10"/>
  <c r="AP23" i="10"/>
  <c r="BA23" i="10"/>
  <c r="AO23" i="10"/>
  <c r="AZ23" i="10"/>
  <c r="AY23" i="10"/>
  <c r="AX23" i="10"/>
  <c r="AZ30" i="10"/>
  <c r="AY30" i="10"/>
  <c r="AX30" i="10"/>
  <c r="BA30" i="10"/>
  <c r="AO30" i="10"/>
  <c r="AW30" i="10"/>
  <c r="BH30" i="10"/>
  <c r="AV30" i="10"/>
  <c r="BG30" i="10"/>
  <c r="AU30" i="10"/>
  <c r="BF30" i="10"/>
  <c r="AT30" i="10"/>
  <c r="BE30" i="10"/>
  <c r="AS30" i="10"/>
  <c r="BB30" i="10"/>
  <c r="AP30" i="10"/>
  <c r="BD30" i="10"/>
  <c r="AR30" i="10"/>
  <c r="BC30" i="10"/>
  <c r="AQ30" i="10"/>
  <c r="BD31" i="10"/>
  <c r="AR31" i="10"/>
  <c r="BC31" i="10"/>
  <c r="AQ31" i="10"/>
  <c r="BB31" i="10"/>
  <c r="AP31" i="10"/>
  <c r="AS31" i="10"/>
  <c r="BA31" i="10"/>
  <c r="AO31" i="10"/>
  <c r="AZ31" i="10"/>
  <c r="AY31" i="10"/>
  <c r="AX31" i="10"/>
  <c r="AW31" i="10"/>
  <c r="BH31" i="10"/>
  <c r="AV31" i="10"/>
  <c r="BG31" i="10"/>
  <c r="AU31" i="10"/>
  <c r="BF31" i="10"/>
  <c r="AT31" i="10"/>
  <c r="BE31" i="10"/>
  <c r="BH17" i="10"/>
  <c r="AV17" i="10"/>
  <c r="BG17" i="10"/>
  <c r="AU17" i="10"/>
  <c r="BF17" i="10"/>
  <c r="AT17" i="10"/>
  <c r="BE17" i="10"/>
  <c r="AS17" i="10"/>
  <c r="BD17" i="10"/>
  <c r="AR17" i="10"/>
  <c r="BC17" i="10"/>
  <c r="AQ17" i="10"/>
  <c r="BB17" i="10"/>
  <c r="AP17" i="10"/>
  <c r="BA17" i="10"/>
  <c r="AO17" i="10"/>
  <c r="AZ17" i="10"/>
  <c r="AX17" i="10"/>
  <c r="AW17" i="10"/>
  <c r="AY17" i="10"/>
  <c r="AZ24" i="10"/>
  <c r="AY24" i="10"/>
  <c r="BA24" i="10"/>
  <c r="AX24" i="10"/>
  <c r="AW24" i="10"/>
  <c r="BH24" i="10"/>
  <c r="AV24" i="10"/>
  <c r="BG24" i="10"/>
  <c r="AU24" i="10"/>
  <c r="AO24" i="10"/>
  <c r="BF24" i="10"/>
  <c r="AT24" i="10"/>
  <c r="BE24" i="10"/>
  <c r="AS24" i="10"/>
  <c r="BD24" i="10"/>
  <c r="AR24" i="10"/>
  <c r="BC24" i="10"/>
  <c r="AQ24" i="10"/>
  <c r="BB24" i="10"/>
  <c r="AP24" i="10"/>
  <c r="BD25" i="10"/>
  <c r="AR25" i="10"/>
  <c r="BC25" i="10"/>
  <c r="AQ25" i="10"/>
  <c r="BB25" i="10"/>
  <c r="AP25" i="10"/>
  <c r="BA25" i="10"/>
  <c r="AO25" i="10"/>
  <c r="AS25" i="10"/>
  <c r="AZ25" i="10"/>
  <c r="AY25" i="10"/>
  <c r="AX25" i="10"/>
  <c r="BF25" i="10"/>
  <c r="AW25" i="10"/>
  <c r="BH25" i="10"/>
  <c r="AV25" i="10"/>
  <c r="BE25" i="10"/>
  <c r="BG25" i="10"/>
  <c r="AU25" i="10"/>
  <c r="AT25" i="10"/>
  <c r="BH32" i="10"/>
  <c r="AV32" i="10"/>
  <c r="BG32" i="10"/>
  <c r="AU32" i="10"/>
  <c r="BF32" i="10"/>
  <c r="AT32" i="10"/>
  <c r="BE32" i="10"/>
  <c r="AS32" i="10"/>
  <c r="AW32" i="10"/>
  <c r="BD32" i="10"/>
  <c r="AR32" i="10"/>
  <c r="BC32" i="10"/>
  <c r="AQ32" i="10"/>
  <c r="BB32" i="10"/>
  <c r="AP32" i="10"/>
  <c r="BA32" i="10"/>
  <c r="AO32" i="10"/>
  <c r="AZ32" i="10"/>
  <c r="AX32" i="10"/>
  <c r="AY32" i="10"/>
  <c r="AZ18" i="10"/>
  <c r="AY18" i="10"/>
  <c r="AX18" i="10"/>
  <c r="AP18" i="10"/>
  <c r="AW18" i="10"/>
  <c r="BA18" i="10"/>
  <c r="BH18" i="10"/>
  <c r="AV18" i="10"/>
  <c r="BG18" i="10"/>
  <c r="AU18" i="10"/>
  <c r="BF18" i="10"/>
  <c r="AT18" i="10"/>
  <c r="BE18" i="10"/>
  <c r="AS18" i="10"/>
  <c r="BD18" i="10"/>
  <c r="AR18" i="10"/>
  <c r="AO18" i="10"/>
  <c r="BC18" i="10"/>
  <c r="AQ18" i="10"/>
  <c r="BB18" i="10"/>
  <c r="BD19" i="10"/>
  <c r="AR19" i="10"/>
  <c r="BC19" i="10"/>
  <c r="AQ19" i="10"/>
  <c r="BE19" i="10"/>
  <c r="BB19" i="10"/>
  <c r="AP19" i="10"/>
  <c r="BA19" i="10"/>
  <c r="AO19" i="10"/>
  <c r="AT19" i="10"/>
  <c r="AS19" i="10"/>
  <c r="AZ19" i="10"/>
  <c r="BF19" i="10"/>
  <c r="AY19" i="10"/>
  <c r="AX19" i="10"/>
  <c r="AW19" i="10"/>
  <c r="BH19" i="10"/>
  <c r="AV19" i="10"/>
  <c r="BG19" i="10"/>
  <c r="AU19" i="10"/>
  <c r="BH26" i="10"/>
  <c r="AV26" i="10"/>
  <c r="BG26" i="10"/>
  <c r="AU26" i="10"/>
  <c r="BF26" i="10"/>
  <c r="AT26" i="10"/>
  <c r="BE26" i="10"/>
  <c r="AS26" i="10"/>
  <c r="BD26" i="10"/>
  <c r="AR26" i="10"/>
  <c r="BC26" i="10"/>
  <c r="AQ26" i="10"/>
  <c r="AX26" i="10"/>
  <c r="BB26" i="10"/>
  <c r="AP26" i="10"/>
  <c r="BA26" i="10"/>
  <c r="AO26" i="10"/>
  <c r="AW26" i="10"/>
  <c r="AZ26" i="10"/>
  <c r="AY26" i="10"/>
  <c r="AZ33" i="10"/>
  <c r="AY33" i="10"/>
  <c r="AX33" i="10"/>
  <c r="AW33" i="10"/>
  <c r="AO33" i="10"/>
  <c r="BH33" i="10"/>
  <c r="AV33" i="10"/>
  <c r="BG33" i="10"/>
  <c r="AU33" i="10"/>
  <c r="BF33" i="10"/>
  <c r="AT33" i="10"/>
  <c r="BE33" i="10"/>
  <c r="AS33" i="10"/>
  <c r="BA33" i="10"/>
  <c r="BD33" i="10"/>
  <c r="AR33" i="10"/>
  <c r="BC33" i="10"/>
  <c r="AQ33" i="10"/>
  <c r="BB33" i="10"/>
  <c r="AP33" i="10"/>
  <c r="BD34" i="10"/>
  <c r="AR34" i="10"/>
  <c r="BC34" i="10"/>
  <c r="AQ34" i="10"/>
  <c r="BB34" i="10"/>
  <c r="AP34" i="10"/>
  <c r="BA34" i="10"/>
  <c r="AO34" i="10"/>
  <c r="AZ34" i="10"/>
  <c r="AY34" i="10"/>
  <c r="AS34" i="10"/>
  <c r="AX34" i="10"/>
  <c r="AW34" i="10"/>
  <c r="BH34" i="10"/>
  <c r="AV34" i="10"/>
  <c r="BG34" i="10"/>
  <c r="AU34" i="10"/>
  <c r="BF34" i="10"/>
  <c r="AT34" i="10"/>
  <c r="BE34" i="10"/>
  <c r="BD13" i="10"/>
  <c r="AR13" i="10"/>
  <c r="BC13" i="10"/>
  <c r="AQ13" i="10"/>
  <c r="BB13" i="10"/>
  <c r="AP13" i="10"/>
  <c r="AS13" i="10"/>
  <c r="BA13" i="10"/>
  <c r="AO13" i="10"/>
  <c r="AT13" i="10"/>
  <c r="AZ13" i="10"/>
  <c r="BF13" i="10"/>
  <c r="AY13" i="10"/>
  <c r="BE13" i="10"/>
  <c r="AX13" i="10"/>
  <c r="AW13" i="10"/>
  <c r="BH13" i="10"/>
  <c r="AV13" i="10"/>
  <c r="BG13" i="10"/>
  <c r="AU13" i="10"/>
  <c r="AZ27" i="10"/>
  <c r="AY27" i="10"/>
  <c r="AX27" i="10"/>
  <c r="AW27" i="10"/>
  <c r="BH27" i="10"/>
  <c r="AV27" i="10"/>
  <c r="BG27" i="10"/>
  <c r="AU27" i="10"/>
  <c r="BA27" i="10"/>
  <c r="AO27" i="10"/>
  <c r="BF27" i="10"/>
  <c r="AT27" i="10"/>
  <c r="BE27" i="10"/>
  <c r="AS27" i="10"/>
  <c r="AP27" i="10"/>
  <c r="BD27" i="10"/>
  <c r="AR27" i="10"/>
  <c r="BB27" i="10"/>
  <c r="BC27" i="10"/>
  <c r="AQ27" i="10"/>
  <c r="BH20" i="10"/>
  <c r="AV20" i="10"/>
  <c r="BG20" i="10"/>
  <c r="AU20" i="10"/>
  <c r="AW20" i="10"/>
  <c r="BF20" i="10"/>
  <c r="AT20" i="10"/>
  <c r="BE20" i="10"/>
  <c r="AS20" i="10"/>
  <c r="AX20" i="10"/>
  <c r="BD20" i="10"/>
  <c r="AR20" i="10"/>
  <c r="BC20" i="10"/>
  <c r="AQ20" i="10"/>
  <c r="BB20" i="10"/>
  <c r="AP20" i="10"/>
  <c r="BA20" i="10"/>
  <c r="AO20" i="10"/>
  <c r="AZ20" i="10"/>
  <c r="AY20" i="10"/>
  <c r="BD28" i="10"/>
  <c r="AR28" i="10"/>
  <c r="BC28" i="10"/>
  <c r="AQ28" i="10"/>
  <c r="BB28" i="10"/>
  <c r="AP28" i="10"/>
  <c r="BA28" i="10"/>
  <c r="AO28" i="10"/>
  <c r="AS28" i="10"/>
  <c r="AZ28" i="10"/>
  <c r="AY28" i="10"/>
  <c r="BE28" i="10"/>
  <c r="AX28" i="10"/>
  <c r="AW28" i="10"/>
  <c r="BF28" i="10"/>
  <c r="BH28" i="10"/>
  <c r="AV28" i="10"/>
  <c r="BG28" i="10"/>
  <c r="AU28" i="10"/>
  <c r="AT28" i="10"/>
  <c r="BH35" i="10"/>
  <c r="AV35" i="10"/>
  <c r="BG35" i="10"/>
  <c r="AU35" i="10"/>
  <c r="BF35" i="10"/>
  <c r="AT35" i="10"/>
  <c r="BE35" i="10"/>
  <c r="AS35" i="10"/>
  <c r="BD35" i="10"/>
  <c r="AR35" i="10"/>
  <c r="BC35" i="10"/>
  <c r="AQ35" i="10"/>
  <c r="BB35" i="10"/>
  <c r="AP35" i="10"/>
  <c r="BA35" i="10"/>
  <c r="AO35" i="10"/>
  <c r="AW35" i="10"/>
  <c r="AZ35" i="10"/>
  <c r="AY35" i="10"/>
  <c r="AX35" i="10"/>
  <c r="BH14" i="10"/>
  <c r="AV14" i="10"/>
  <c r="AW14" i="10"/>
  <c r="BG14" i="10"/>
  <c r="AU14" i="10"/>
  <c r="BF14" i="10"/>
  <c r="AT14" i="10"/>
  <c r="BE14" i="10"/>
  <c r="AS14" i="10"/>
  <c r="BD14" i="10"/>
  <c r="AR14" i="10"/>
  <c r="AX14" i="10"/>
  <c r="BC14" i="10"/>
  <c r="AQ14" i="10"/>
  <c r="BB14" i="10"/>
  <c r="AP14" i="10"/>
  <c r="BA14" i="10"/>
  <c r="AO14" i="10"/>
  <c r="AZ14" i="10"/>
  <c r="AY14" i="10"/>
  <c r="AZ21" i="10"/>
  <c r="AY21" i="10"/>
  <c r="AX21" i="10"/>
  <c r="BA21" i="10"/>
  <c r="AO21" i="10"/>
  <c r="AW21" i="10"/>
  <c r="BH21" i="10"/>
  <c r="AV21" i="10"/>
  <c r="BG21" i="10"/>
  <c r="AU21" i="10"/>
  <c r="BF21" i="10"/>
  <c r="AT21" i="10"/>
  <c r="BB21" i="10"/>
  <c r="AP21" i="10"/>
  <c r="BE21" i="10"/>
  <c r="AS21" i="10"/>
  <c r="BD21" i="10"/>
  <c r="AR21" i="10"/>
  <c r="BC21" i="10"/>
  <c r="AQ21" i="10"/>
  <c r="BD22" i="10"/>
  <c r="AR22" i="10"/>
  <c r="BC22" i="10"/>
  <c r="AQ22" i="10"/>
  <c r="BB22" i="10"/>
  <c r="AP22" i="10"/>
  <c r="BA22" i="10"/>
  <c r="AO22" i="10"/>
  <c r="AS22" i="10"/>
  <c r="AZ22" i="10"/>
  <c r="BF22" i="10"/>
  <c r="AY22" i="10"/>
  <c r="AX22" i="10"/>
  <c r="AT22" i="10"/>
  <c r="AW22" i="10"/>
  <c r="BH22" i="10"/>
  <c r="AV22" i="10"/>
  <c r="BE22" i="10"/>
  <c r="BG22" i="10"/>
  <c r="AU22" i="10"/>
  <c r="BH29" i="10"/>
  <c r="AV29" i="10"/>
  <c r="BG29" i="10"/>
  <c r="AU29" i="10"/>
  <c r="BF29" i="10"/>
  <c r="AT29" i="10"/>
  <c r="BE29" i="10"/>
  <c r="AS29" i="10"/>
  <c r="AW29" i="10"/>
  <c r="BD29" i="10"/>
  <c r="AR29" i="10"/>
  <c r="BC29" i="10"/>
  <c r="AQ29" i="10"/>
  <c r="BB29" i="10"/>
  <c r="AP29" i="10"/>
  <c r="BA29" i="10"/>
  <c r="AO29" i="10"/>
  <c r="AZ29" i="10"/>
  <c r="AX29" i="10"/>
  <c r="AY29" i="10"/>
  <c r="N14" i="10"/>
  <c r="F15" i="10"/>
  <c r="G15" i="10" s="1"/>
  <c r="N17" i="10"/>
  <c r="F18" i="10"/>
  <c r="G18" i="10" s="1"/>
  <c r="N20" i="10"/>
  <c r="F21" i="10"/>
  <c r="G21" i="10" s="1"/>
  <c r="N23" i="10"/>
  <c r="F24" i="10"/>
  <c r="G24" i="10" s="1"/>
  <c r="N26" i="10"/>
  <c r="F27" i="10"/>
  <c r="G27" i="10" s="1"/>
  <c r="N29" i="10"/>
  <c r="F30" i="10"/>
  <c r="G30" i="10" s="1"/>
  <c r="N32" i="10"/>
  <c r="F33" i="10"/>
  <c r="G33" i="10" s="1"/>
  <c r="N35" i="10"/>
  <c r="O14" i="10"/>
  <c r="O17" i="10"/>
  <c r="O20" i="10"/>
  <c r="O23" i="10"/>
  <c r="O26" i="10"/>
  <c r="O29" i="10"/>
  <c r="O32" i="10"/>
  <c r="O35" i="10"/>
  <c r="M51" i="10"/>
  <c r="I36" i="10"/>
  <c r="O12" i="10"/>
  <c r="M13" i="10"/>
  <c r="I15" i="10"/>
  <c r="M16" i="10"/>
  <c r="I18" i="10"/>
  <c r="M19" i="10"/>
  <c r="I21" i="10"/>
  <c r="M22" i="10"/>
  <c r="I24" i="10"/>
  <c r="M25" i="10"/>
  <c r="I27" i="10"/>
  <c r="M28" i="10"/>
  <c r="I30" i="10"/>
  <c r="M31" i="10"/>
  <c r="I33" i="10"/>
  <c r="M38" i="10"/>
  <c r="M37" i="10"/>
  <c r="N13" i="10"/>
  <c r="N16" i="10"/>
  <c r="N19" i="10"/>
  <c r="N22" i="10"/>
  <c r="N25" i="10"/>
  <c r="N28" i="10"/>
  <c r="N31" i="10"/>
  <c r="N34" i="10"/>
  <c r="I14" i="10"/>
  <c r="M15" i="10"/>
  <c r="I17" i="10"/>
  <c r="M18" i="10"/>
  <c r="I20" i="10"/>
  <c r="M21" i="10"/>
  <c r="I23" i="10"/>
  <c r="M24" i="10"/>
  <c r="I26" i="10"/>
  <c r="M27" i="10"/>
  <c r="I29" i="10"/>
  <c r="M30" i="10"/>
  <c r="I32" i="10"/>
  <c r="M33" i="10"/>
  <c r="BC11" i="10"/>
  <c r="AW11" i="10"/>
  <c r="AQ11" i="10"/>
  <c r="N10" i="10"/>
  <c r="N54" i="10"/>
  <c r="N52" i="10"/>
  <c r="AZ47" i="10"/>
  <c r="O47" i="10"/>
  <c r="O45" i="10"/>
  <c r="O43" i="10"/>
  <c r="I42" i="10"/>
  <c r="O41" i="10"/>
  <c r="I40" i="10"/>
  <c r="F12" i="10"/>
  <c r="G12" i="10" s="1"/>
  <c r="N8" i="10"/>
  <c r="M6" i="10"/>
  <c r="N51" i="10"/>
  <c r="F50" i="10"/>
  <c r="G50" i="10" s="1"/>
  <c r="N49" i="10"/>
  <c r="F48" i="10"/>
  <c r="G48" i="10" s="1"/>
  <c r="AR47" i="10"/>
  <c r="M47" i="10"/>
  <c r="I46" i="10"/>
  <c r="M45" i="10"/>
  <c r="I44" i="10"/>
  <c r="M43" i="10"/>
  <c r="M41" i="10"/>
  <c r="M39" i="10"/>
  <c r="I38" i="10"/>
  <c r="F11" i="10"/>
  <c r="G11" i="10" s="1"/>
  <c r="F9" i="10"/>
  <c r="G9" i="10" s="1"/>
  <c r="F51" i="10"/>
  <c r="G51" i="10" s="1"/>
  <c r="F49" i="10"/>
  <c r="G49" i="10" s="1"/>
  <c r="N47" i="10"/>
  <c r="F46" i="10"/>
  <c r="G46" i="10" s="1"/>
  <c r="N45" i="10"/>
  <c r="N44" i="10"/>
  <c r="N43" i="10"/>
  <c r="N42" i="10"/>
  <c r="N41" i="10"/>
  <c r="N40" i="10"/>
  <c r="N39" i="10"/>
  <c r="O37" i="10"/>
  <c r="M36" i="10"/>
  <c r="M12" i="10"/>
  <c r="N38" i="10"/>
  <c r="N37" i="10"/>
  <c r="I11" i="10"/>
  <c r="I9" i="10"/>
  <c r="F47" i="10"/>
  <c r="G47" i="10" s="1"/>
  <c r="F45" i="10"/>
  <c r="G45" i="10" s="1"/>
  <c r="F43" i="10"/>
  <c r="G43" i="10" s="1"/>
  <c r="F41" i="10"/>
  <c r="G41" i="10" s="1"/>
  <c r="F39" i="10"/>
  <c r="G39" i="10" s="1"/>
  <c r="N36" i="10"/>
  <c r="N12" i="10"/>
  <c r="M11" i="10"/>
  <c r="M10" i="10"/>
  <c r="M9" i="10"/>
  <c r="M8" i="10"/>
  <c r="F37" i="10"/>
  <c r="G37" i="10" s="1"/>
  <c r="F53" i="10"/>
  <c r="G53" i="10" s="1"/>
  <c r="N11" i="10"/>
  <c r="N9" i="10"/>
  <c r="N55" i="10"/>
  <c r="M54" i="10"/>
  <c r="I53" i="10"/>
  <c r="M52" i="10"/>
  <c r="F44" i="10"/>
  <c r="G44" i="10" s="1"/>
  <c r="F42" i="10"/>
  <c r="G42" i="10" s="1"/>
  <c r="F40" i="10"/>
  <c r="G40" i="10" s="1"/>
  <c r="F10" i="10"/>
  <c r="G10" i="10" s="1"/>
  <c r="F8" i="10"/>
  <c r="G8" i="10" s="1"/>
  <c r="F55" i="10"/>
  <c r="G55" i="10" s="1"/>
  <c r="H55" i="10" s="1"/>
  <c r="O51" i="10"/>
  <c r="O49" i="10"/>
  <c r="F38" i="10"/>
  <c r="G38" i="10" s="1"/>
  <c r="N6" i="10"/>
  <c r="I50" i="10"/>
  <c r="M49" i="10"/>
  <c r="I48" i="10"/>
  <c r="F36" i="10"/>
  <c r="G36" i="10" s="1"/>
  <c r="I7" i="10"/>
  <c r="M7" i="10"/>
  <c r="N7" i="10"/>
  <c r="F7" i="10"/>
  <c r="G7" i="10" s="1"/>
  <c r="O6" i="10"/>
  <c r="AU37" i="10"/>
  <c r="BC37" i="10"/>
  <c r="BG37" i="10"/>
  <c r="BA37" i="10"/>
  <c r="AQ37" i="10"/>
  <c r="AO37" i="10"/>
  <c r="AX39" i="10"/>
  <c r="AZ39" i="10"/>
  <c r="AV39" i="10"/>
  <c r="AR36" i="10"/>
  <c r="AX36" i="10"/>
  <c r="AZ36" i="10"/>
  <c r="BD36" i="10"/>
  <c r="AS38" i="10"/>
  <c r="AU38" i="10"/>
  <c r="AW38" i="10"/>
  <c r="AY38" i="10"/>
  <c r="BE38" i="10"/>
  <c r="BG38" i="10"/>
  <c r="AR46" i="10"/>
  <c r="AP46" i="10"/>
  <c r="AV46" i="10"/>
  <c r="AZ46" i="10"/>
  <c r="BB46" i="10"/>
  <c r="BF46" i="10"/>
  <c r="BH46" i="10"/>
  <c r="AX45" i="10"/>
  <c r="AZ45" i="10"/>
  <c r="AV45" i="10"/>
  <c r="BB45" i="10"/>
  <c r="BD45" i="10"/>
  <c r="BH45" i="10"/>
  <c r="AR45" i="10"/>
  <c r="AP45" i="10"/>
  <c r="AR44" i="10"/>
  <c r="AT44" i="10"/>
  <c r="AV44" i="10"/>
  <c r="AX44" i="10"/>
  <c r="AZ44" i="10"/>
  <c r="BD44" i="10"/>
  <c r="BF44" i="10"/>
  <c r="BH44" i="10"/>
  <c r="BH43" i="10"/>
  <c r="AP43" i="10"/>
  <c r="AR43" i="10"/>
  <c r="BF43" i="10"/>
  <c r="AT43" i="10"/>
  <c r="AV43" i="10"/>
  <c r="BD43" i="10"/>
  <c r="AZ43" i="10"/>
  <c r="BB43" i="10"/>
  <c r="BB48" i="10"/>
  <c r="BD48" i="10"/>
  <c r="BH48" i="10"/>
  <c r="AZ48" i="10"/>
  <c r="AP48" i="10"/>
  <c r="AR48" i="10"/>
  <c r="AX48" i="10"/>
  <c r="AV48" i="10"/>
  <c r="AT55" i="10"/>
  <c r="AV55" i="10"/>
  <c r="AR55" i="10"/>
  <c r="AX55" i="10"/>
  <c r="AZ55" i="10"/>
  <c r="BB55" i="10"/>
  <c r="BD55" i="10"/>
  <c r="BH55" i="10"/>
  <c r="BF55" i="10"/>
  <c r="AP55" i="10"/>
  <c r="AT54" i="10"/>
  <c r="AR54" i="10"/>
  <c r="AV54" i="10"/>
  <c r="AX54" i="10"/>
  <c r="BD54" i="10"/>
  <c r="BF54" i="10"/>
  <c r="AV42" i="10"/>
  <c r="BH42" i="10"/>
  <c r="AZ42" i="10"/>
  <c r="BB42" i="10"/>
  <c r="BD42" i="10"/>
  <c r="AR42" i="10"/>
  <c r="AP42" i="10"/>
  <c r="AY10" i="10"/>
  <c r="AS10" i="10"/>
  <c r="AV52" i="10"/>
  <c r="AX52" i="10"/>
  <c r="AT52" i="10"/>
  <c r="AZ52" i="10"/>
  <c r="BB52" i="10"/>
  <c r="BD52" i="10"/>
  <c r="BF52" i="10"/>
  <c r="BH52" i="10"/>
  <c r="AR52" i="10"/>
  <c r="AP52" i="10"/>
  <c r="AP51" i="10"/>
  <c r="AR51" i="10"/>
  <c r="BB51" i="10"/>
  <c r="AP49" i="10"/>
  <c r="AR49" i="10"/>
  <c r="AT49" i="10"/>
  <c r="BH49" i="10"/>
  <c r="AV49" i="10"/>
  <c r="AZ49" i="10"/>
  <c r="BF49" i="10"/>
  <c r="BB49" i="10"/>
  <c r="BD49" i="10"/>
  <c r="AZ53" i="10"/>
  <c r="BB53" i="10"/>
  <c r="BD53" i="10"/>
  <c r="BF53" i="10"/>
  <c r="BH53" i="10"/>
  <c r="AX53" i="10"/>
  <c r="AP53" i="10"/>
  <c r="AV53" i="10"/>
  <c r="AR53" i="10"/>
  <c r="AT53" i="10"/>
  <c r="AO9" i="10"/>
  <c r="BA9" i="10"/>
  <c r="AR50" i="10"/>
  <c r="AT50" i="10"/>
  <c r="AX50" i="10"/>
  <c r="AV50" i="10"/>
  <c r="AZ50" i="10"/>
  <c r="BD50" i="10"/>
  <c r="BF50" i="10"/>
  <c r="BH50" i="10"/>
  <c r="AP40" i="10"/>
  <c r="AR40" i="10"/>
  <c r="AT40" i="10"/>
  <c r="AV40" i="10"/>
  <c r="AZ40" i="10"/>
  <c r="BB40" i="10"/>
  <c r="BD40" i="10"/>
  <c r="BF40" i="10"/>
  <c r="BH40" i="10"/>
  <c r="AS7" i="10"/>
  <c r="BE7" i="10"/>
  <c r="BH47" i="10"/>
  <c r="BF47" i="10"/>
  <c r="BD47" i="10"/>
  <c r="BF12" i="10"/>
  <c r="AZ12" i="10"/>
  <c r="AX47" i="10"/>
  <c r="AV47" i="10"/>
  <c r="AW41" i="10"/>
  <c r="AY41" i="10"/>
  <c r="AO41" i="10"/>
  <c r="BA41" i="10"/>
  <c r="AP41" i="10"/>
  <c r="BB41" i="10"/>
  <c r="AQ41" i="10"/>
  <c r="BC41" i="10"/>
  <c r="AS41" i="10"/>
  <c r="BE41" i="10"/>
  <c r="AU41" i="10"/>
  <c r="BG41" i="10"/>
  <c r="BD46" i="10"/>
  <c r="AX42" i="10"/>
  <c r="AS55" i="10"/>
  <c r="BE55" i="10"/>
  <c r="AU55" i="10"/>
  <c r="BG55" i="10"/>
  <c r="AW55" i="10"/>
  <c r="AY55" i="10"/>
  <c r="AO55" i="10"/>
  <c r="BA55" i="10"/>
  <c r="AQ55" i="10"/>
  <c r="BC55" i="10"/>
  <c r="AS40" i="10"/>
  <c r="BE40" i="10"/>
  <c r="AU40" i="10"/>
  <c r="BG40" i="10"/>
  <c r="AW40" i="10"/>
  <c r="AX40" i="10"/>
  <c r="AY40" i="10"/>
  <c r="AO40" i="10"/>
  <c r="BA40" i="10"/>
  <c r="AQ40" i="10"/>
  <c r="BC40" i="10"/>
  <c r="AO54" i="10"/>
  <c r="BA54" i="10"/>
  <c r="AQ54" i="10"/>
  <c r="BC54" i="10"/>
  <c r="AS54" i="10"/>
  <c r="BE54" i="10"/>
  <c r="AU54" i="10"/>
  <c r="BG54" i="10"/>
  <c r="AW54" i="10"/>
  <c r="AY54" i="10"/>
  <c r="AO51" i="10"/>
  <c r="BA51" i="10"/>
  <c r="AQ51" i="10"/>
  <c r="BC51" i="10"/>
  <c r="AS51" i="10"/>
  <c r="BE51" i="10"/>
  <c r="BF51" i="10"/>
  <c r="AT51" i="10"/>
  <c r="AU51" i="10"/>
  <c r="BG51" i="10"/>
  <c r="AW51" i="10"/>
  <c r="AY51" i="10"/>
  <c r="AO39" i="10"/>
  <c r="BA39" i="10"/>
  <c r="AQ39" i="10"/>
  <c r="BC39" i="10"/>
  <c r="BD39" i="10"/>
  <c r="AR39" i="10"/>
  <c r="AS39" i="10"/>
  <c r="BE39" i="10"/>
  <c r="AT39" i="10"/>
  <c r="BF39" i="10"/>
  <c r="AU39" i="10"/>
  <c r="BG39" i="10"/>
  <c r="AW39" i="10"/>
  <c r="AY39" i="10"/>
  <c r="AP54" i="10"/>
  <c r="AP39" i="10"/>
  <c r="AW53" i="10"/>
  <c r="AY53" i="10"/>
  <c r="AO53" i="10"/>
  <c r="BA53" i="10"/>
  <c r="AQ53" i="10"/>
  <c r="BC53" i="10"/>
  <c r="AS53" i="10"/>
  <c r="BE53" i="10"/>
  <c r="AU53" i="10"/>
  <c r="BG53" i="10"/>
  <c r="AW50" i="10"/>
  <c r="AY50" i="10"/>
  <c r="AO50" i="10"/>
  <c r="BA50" i="10"/>
  <c r="BB50" i="10"/>
  <c r="AP50" i="10"/>
  <c r="AQ50" i="10"/>
  <c r="BC50" i="10"/>
  <c r="AS50" i="10"/>
  <c r="BE50" i="10"/>
  <c r="AU50" i="10"/>
  <c r="BG50" i="10"/>
  <c r="AX38" i="10"/>
  <c r="AZ38" i="10"/>
  <c r="BA38" i="10"/>
  <c r="AO38" i="10"/>
  <c r="AP38" i="10"/>
  <c r="BB38" i="10"/>
  <c r="AQ38" i="10"/>
  <c r="BC38" i="10"/>
  <c r="AR38" i="10"/>
  <c r="BD38" i="10"/>
  <c r="AT38" i="10"/>
  <c r="BF38" i="10"/>
  <c r="AV38" i="10"/>
  <c r="BH38" i="10"/>
  <c r="AS52" i="10"/>
  <c r="BE52" i="10"/>
  <c r="AU52" i="10"/>
  <c r="BG52" i="10"/>
  <c r="AW52" i="10"/>
  <c r="AY52" i="10"/>
  <c r="AO52" i="10"/>
  <c r="BA52" i="10"/>
  <c r="AQ52" i="10"/>
  <c r="BC52" i="10"/>
  <c r="AS49" i="10"/>
  <c r="BE49" i="10"/>
  <c r="AU49" i="10"/>
  <c r="BG49" i="10"/>
  <c r="AW49" i="10"/>
  <c r="AX49" i="10"/>
  <c r="AY49" i="10"/>
  <c r="AO49" i="10"/>
  <c r="BA49" i="10"/>
  <c r="AQ49" i="10"/>
  <c r="BC49" i="10"/>
  <c r="BE37" i="10"/>
  <c r="AT37" i="10"/>
  <c r="BF37" i="10"/>
  <c r="AV37" i="10"/>
  <c r="BH37" i="10"/>
  <c r="AW37" i="10"/>
  <c r="AX37" i="10"/>
  <c r="AY37" i="10"/>
  <c r="AZ37" i="10"/>
  <c r="AP37" i="10"/>
  <c r="BB37" i="10"/>
  <c r="AR37" i="10"/>
  <c r="BD37" i="10"/>
  <c r="AS37" i="10"/>
  <c r="AT46" i="10"/>
  <c r="BH41" i="10"/>
  <c r="BE10" i="10"/>
  <c r="AO48" i="10"/>
  <c r="BA48" i="10"/>
  <c r="AQ48" i="10"/>
  <c r="BC48" i="10"/>
  <c r="AS48" i="10"/>
  <c r="BE48" i="10"/>
  <c r="AT48" i="10"/>
  <c r="BF48" i="10"/>
  <c r="AU48" i="10"/>
  <c r="BG48" i="10"/>
  <c r="AW48" i="10"/>
  <c r="AY48" i="10"/>
  <c r="BB36" i="10"/>
  <c r="AQ36" i="10"/>
  <c r="BC36" i="10"/>
  <c r="AS36" i="10"/>
  <c r="BE36" i="10"/>
  <c r="BF36" i="10"/>
  <c r="AT36" i="10"/>
  <c r="AU36" i="10"/>
  <c r="BG36" i="10"/>
  <c r="AV36" i="10"/>
  <c r="BH36" i="10"/>
  <c r="AW36" i="10"/>
  <c r="AY36" i="10"/>
  <c r="AO36" i="10"/>
  <c r="BA36" i="10"/>
  <c r="AP36" i="10"/>
  <c r="BH54" i="10"/>
  <c r="BH51" i="10"/>
  <c r="BF41" i="10"/>
  <c r="AW47" i="10"/>
  <c r="AY47" i="10"/>
  <c r="AO47" i="10"/>
  <c r="BA47" i="10"/>
  <c r="AP47" i="10"/>
  <c r="BB47" i="10"/>
  <c r="AQ47" i="10"/>
  <c r="BC47" i="10"/>
  <c r="AS47" i="10"/>
  <c r="BE47" i="10"/>
  <c r="AU47" i="10"/>
  <c r="BG47" i="10"/>
  <c r="AX12" i="10"/>
  <c r="AY12" i="10"/>
  <c r="AO12" i="10"/>
  <c r="BA12" i="10"/>
  <c r="AP12" i="10"/>
  <c r="BB12" i="10"/>
  <c r="AQ12" i="10"/>
  <c r="BC12" i="10"/>
  <c r="AR12" i="10"/>
  <c r="BD12" i="10"/>
  <c r="AS12" i="10"/>
  <c r="BE12" i="10"/>
  <c r="AU12" i="10"/>
  <c r="BG12" i="10"/>
  <c r="AV12" i="10"/>
  <c r="BH12" i="10"/>
  <c r="AW12" i="10"/>
  <c r="BD51" i="10"/>
  <c r="BD41" i="10"/>
  <c r="AS46" i="10"/>
  <c r="BE46" i="10"/>
  <c r="AU46" i="10"/>
  <c r="BG46" i="10"/>
  <c r="AW46" i="10"/>
  <c r="AX46" i="10"/>
  <c r="AY46" i="10"/>
  <c r="AO46" i="10"/>
  <c r="BA46" i="10"/>
  <c r="AQ46" i="10"/>
  <c r="BC46" i="10"/>
  <c r="AU11" i="10"/>
  <c r="AV11" i="10"/>
  <c r="BH11" i="10"/>
  <c r="AX11" i="10"/>
  <c r="AY11" i="10"/>
  <c r="AZ11" i="10"/>
  <c r="AO11" i="10"/>
  <c r="BA11" i="10"/>
  <c r="AP11" i="10"/>
  <c r="BB11" i="10"/>
  <c r="AR11" i="10"/>
  <c r="BD11" i="10"/>
  <c r="AS11" i="10"/>
  <c r="BE11" i="10"/>
  <c r="AT11" i="10"/>
  <c r="BF11" i="10"/>
  <c r="BG11" i="10"/>
  <c r="AZ41" i="10"/>
  <c r="AO45" i="10"/>
  <c r="BA45" i="10"/>
  <c r="AQ45" i="10"/>
  <c r="BC45" i="10"/>
  <c r="AS45" i="10"/>
  <c r="BE45" i="10"/>
  <c r="AT45" i="10"/>
  <c r="BF45" i="10"/>
  <c r="AU45" i="10"/>
  <c r="BG45" i="10"/>
  <c r="AW45" i="10"/>
  <c r="AY45" i="10"/>
  <c r="AQ10" i="10"/>
  <c r="AR10" i="10"/>
  <c r="BD10" i="10"/>
  <c r="AT10" i="10"/>
  <c r="BF10" i="10"/>
  <c r="AU10" i="10"/>
  <c r="BG10" i="10"/>
  <c r="AV10" i="10"/>
  <c r="BH10" i="10"/>
  <c r="AW10" i="10"/>
  <c r="AX10" i="10"/>
  <c r="AZ10" i="10"/>
  <c r="AO10" i="10"/>
  <c r="BA10" i="10"/>
  <c r="AP10" i="10"/>
  <c r="BB10" i="10"/>
  <c r="BC10" i="10"/>
  <c r="BB54" i="10"/>
  <c r="AZ51" i="10"/>
  <c r="AX41" i="10"/>
  <c r="AW44" i="10"/>
  <c r="AY44" i="10"/>
  <c r="AO44" i="10"/>
  <c r="BA44" i="10"/>
  <c r="AP44" i="10"/>
  <c r="BB44" i="10"/>
  <c r="AQ44" i="10"/>
  <c r="BC44" i="10"/>
  <c r="AS44" i="10"/>
  <c r="BE44" i="10"/>
  <c r="AU44" i="10"/>
  <c r="BG44" i="10"/>
  <c r="AY9" i="10"/>
  <c r="AZ9" i="10"/>
  <c r="AP9" i="10"/>
  <c r="BB9" i="10"/>
  <c r="AQ9" i="10"/>
  <c r="BC9" i="10"/>
  <c r="AR9" i="10"/>
  <c r="BD9" i="10"/>
  <c r="AS9" i="10"/>
  <c r="BE9" i="10"/>
  <c r="AT9" i="10"/>
  <c r="BF9" i="10"/>
  <c r="AU9" i="10"/>
  <c r="BG9" i="10"/>
  <c r="AV9" i="10"/>
  <c r="BH9" i="10"/>
  <c r="AW9" i="10"/>
  <c r="AX9" i="10"/>
  <c r="AZ54" i="10"/>
  <c r="AX51" i="10"/>
  <c r="AV41" i="10"/>
  <c r="BH39" i="10"/>
  <c r="AS43" i="10"/>
  <c r="BE43" i="10"/>
  <c r="AU43" i="10"/>
  <c r="BG43" i="10"/>
  <c r="AW43" i="10"/>
  <c r="AX43" i="10"/>
  <c r="AY43" i="10"/>
  <c r="AO43" i="10"/>
  <c r="BA43" i="10"/>
  <c r="AQ43" i="10"/>
  <c r="BC43" i="10"/>
  <c r="AU8" i="10"/>
  <c r="BG8" i="10"/>
  <c r="AV8" i="10"/>
  <c r="BH8" i="10"/>
  <c r="AX8" i="10"/>
  <c r="AY8" i="10"/>
  <c r="AZ8" i="10"/>
  <c r="AO8" i="10"/>
  <c r="BA8" i="10"/>
  <c r="AP8" i="10"/>
  <c r="BB8" i="10"/>
  <c r="AQ8" i="10"/>
  <c r="BC8" i="10"/>
  <c r="AR8" i="10"/>
  <c r="BD8" i="10"/>
  <c r="AS8" i="10"/>
  <c r="BE8" i="10"/>
  <c r="AT8" i="10"/>
  <c r="BF8" i="10"/>
  <c r="AV51" i="10"/>
  <c r="AT41" i="10"/>
  <c r="BB39" i="10"/>
  <c r="AO42" i="10"/>
  <c r="BA42" i="10"/>
  <c r="AQ42" i="10"/>
  <c r="BC42" i="10"/>
  <c r="AS42" i="10"/>
  <c r="BE42" i="10"/>
  <c r="AT42" i="10"/>
  <c r="BF42" i="10"/>
  <c r="AU42" i="10"/>
  <c r="BG42" i="10"/>
  <c r="AW42" i="10"/>
  <c r="AY42" i="10"/>
  <c r="AQ7" i="10"/>
  <c r="AR7" i="10"/>
  <c r="BD7" i="10"/>
  <c r="AT7" i="10"/>
  <c r="BF7" i="10"/>
  <c r="AU7" i="10"/>
  <c r="BG7" i="10"/>
  <c r="AV7" i="10"/>
  <c r="BH7" i="10"/>
  <c r="AW7" i="10"/>
  <c r="AX7" i="10"/>
  <c r="AY7" i="10"/>
  <c r="AZ7" i="10"/>
  <c r="AO7" i="10"/>
  <c r="BA7" i="10"/>
  <c r="AP7" i="10"/>
  <c r="BB7" i="10"/>
  <c r="BC7" i="10"/>
  <c r="O55" i="10"/>
  <c r="I54" i="10"/>
  <c r="O53" i="10"/>
  <c r="I52" i="10"/>
  <c r="I51" i="10"/>
  <c r="O50" i="10"/>
  <c r="I49" i="10"/>
  <c r="O48" i="10"/>
  <c r="I47" i="10"/>
  <c r="O46" i="10"/>
  <c r="I45" i="10"/>
  <c r="O44" i="10"/>
  <c r="I43" i="10"/>
  <c r="O42" i="10"/>
  <c r="I41" i="10"/>
  <c r="O40" i="10"/>
  <c r="I39" i="10"/>
  <c r="O38" i="10"/>
  <c r="I37" i="10"/>
  <c r="O36" i="10"/>
  <c r="I12" i="10"/>
  <c r="O11" i="10"/>
  <c r="I10" i="10"/>
  <c r="O9" i="10"/>
  <c r="I8" i="10"/>
  <c r="O7" i="10"/>
  <c r="N53" i="10"/>
  <c r="N50" i="10"/>
  <c r="N48" i="10"/>
  <c r="N46" i="10"/>
  <c r="M53" i="10"/>
  <c r="M50" i="10"/>
  <c r="M48" i="10"/>
  <c r="M46" i="10"/>
  <c r="M44" i="10"/>
  <c r="M42" i="10"/>
  <c r="M40" i="10"/>
  <c r="M55" i="10"/>
  <c r="F54" i="10"/>
  <c r="G54" i="10" s="1"/>
  <c r="F52" i="10"/>
  <c r="G52" i="10" s="1"/>
  <c r="H52" i="10" s="1"/>
  <c r="O10" i="10"/>
  <c r="O8" i="10"/>
  <c r="I6" i="10"/>
  <c r="AZ6" i="10"/>
  <c r="BA6" i="10"/>
  <c r="AP6" i="10"/>
  <c r="BB6" i="10"/>
  <c r="BC6" i="10"/>
  <c r="AX6" i="10"/>
  <c r="BD6" i="10"/>
  <c r="AY6" i="10"/>
  <c r="AS6" i="10"/>
  <c r="BE6" i="10"/>
  <c r="AT6" i="10"/>
  <c r="BF6" i="10"/>
  <c r="AQ6" i="10"/>
  <c r="AR6" i="10"/>
  <c r="AU6" i="10"/>
  <c r="BG6" i="10"/>
  <c r="AV6" i="10"/>
  <c r="BH6" i="10"/>
  <c r="AW6" i="10"/>
  <c r="F6" i="10"/>
  <c r="G6" i="10" s="1"/>
  <c r="H25" i="10" l="1"/>
  <c r="H28" i="10"/>
  <c r="H19" i="10"/>
  <c r="H18" i="10"/>
  <c r="H13" i="10"/>
  <c r="H32" i="10"/>
  <c r="H36" i="10"/>
  <c r="H38" i="10"/>
  <c r="H17" i="10"/>
  <c r="H21" i="10"/>
  <c r="J15" i="10"/>
  <c r="L15" i="10" s="1"/>
  <c r="J35" i="10"/>
  <c r="L35" i="10" s="1"/>
  <c r="J25" i="10"/>
  <c r="L25" i="10" s="1"/>
  <c r="J17" i="10"/>
  <c r="L17" i="10" s="1"/>
  <c r="H16" i="10"/>
  <c r="J21" i="10"/>
  <c r="L21" i="10" s="1"/>
  <c r="J34" i="10"/>
  <c r="L34" i="10" s="1"/>
  <c r="J23" i="10"/>
  <c r="L23" i="10" s="1"/>
  <c r="H33" i="10"/>
  <c r="H15" i="10"/>
  <c r="J16" i="10"/>
  <c r="L16" i="10" s="1"/>
  <c r="J22" i="10"/>
  <c r="L22" i="10" s="1"/>
  <c r="J14" i="10"/>
  <c r="L14" i="10" s="1"/>
  <c r="J18" i="10"/>
  <c r="L18" i="10" s="1"/>
  <c r="H30" i="10"/>
  <c r="J29" i="10"/>
  <c r="L29" i="10" s="1"/>
  <c r="J19" i="10"/>
  <c r="L19" i="10" s="1"/>
  <c r="J30" i="10"/>
  <c r="L30" i="10" s="1"/>
  <c r="H42" i="10"/>
  <c r="J33" i="10"/>
  <c r="L33" i="10" s="1"/>
  <c r="J32" i="10"/>
  <c r="L32" i="10" s="1"/>
  <c r="H24" i="10"/>
  <c r="J27" i="10"/>
  <c r="L27" i="10" s="1"/>
  <c r="H31" i="10"/>
  <c r="H34" i="10"/>
  <c r="J13" i="10"/>
  <c r="L13" i="10" s="1"/>
  <c r="J20" i="10"/>
  <c r="L20" i="10" s="1"/>
  <c r="J31" i="10"/>
  <c r="L31" i="10" s="1"/>
  <c r="J28" i="10"/>
  <c r="L28" i="10" s="1"/>
  <c r="J26" i="10"/>
  <c r="L26" i="10" s="1"/>
  <c r="J24" i="10"/>
  <c r="L24" i="10" s="1"/>
  <c r="H23" i="10"/>
  <c r="H29" i="10"/>
  <c r="H27" i="10"/>
  <c r="H54" i="10"/>
  <c r="H20" i="10"/>
  <c r="H53" i="10"/>
  <c r="H14" i="10"/>
  <c r="H26" i="10"/>
  <c r="H7" i="10"/>
  <c r="H46" i="10"/>
  <c r="H12" i="10"/>
  <c r="H49" i="10"/>
  <c r="H51" i="10"/>
  <c r="J6" i="10"/>
  <c r="L6" i="10" s="1"/>
  <c r="H8" i="10"/>
  <c r="H48" i="10"/>
  <c r="H10" i="10"/>
  <c r="H39" i="10"/>
  <c r="H9" i="10"/>
  <c r="H6" i="10"/>
  <c r="H40" i="10"/>
  <c r="H41" i="10"/>
  <c r="H11" i="10"/>
  <c r="H50" i="10"/>
  <c r="H43" i="10"/>
  <c r="H44" i="10"/>
  <c r="H45" i="10"/>
  <c r="H47" i="10"/>
  <c r="H37" i="10"/>
  <c r="J39" i="10"/>
  <c r="L39" i="10" s="1"/>
  <c r="J41" i="10"/>
  <c r="L41" i="10" s="1"/>
  <c r="J46" i="10"/>
  <c r="L46" i="10" s="1"/>
  <c r="J49" i="10"/>
  <c r="L49" i="10" s="1"/>
  <c r="J52" i="10"/>
  <c r="L52" i="10" s="1"/>
  <c r="J50" i="10"/>
  <c r="L50" i="10" s="1"/>
  <c r="J53" i="10"/>
  <c r="L53" i="10" s="1"/>
  <c r="J40" i="10"/>
  <c r="L40" i="10" s="1"/>
  <c r="J11" i="10"/>
  <c r="L11" i="10" s="1"/>
  <c r="J42" i="10"/>
  <c r="L42" i="10" s="1"/>
  <c r="J8" i="10"/>
  <c r="L8" i="10" s="1"/>
  <c r="J43" i="10"/>
  <c r="L43" i="10" s="1"/>
  <c r="J10" i="10"/>
  <c r="L10" i="10" s="1"/>
  <c r="J48" i="10"/>
  <c r="L48" i="10" s="1"/>
  <c r="J51" i="10"/>
  <c r="L51" i="10" s="1"/>
  <c r="J55" i="10"/>
  <c r="L55" i="10" s="1"/>
  <c r="J9" i="10"/>
  <c r="L9" i="10" s="1"/>
  <c r="J45" i="10"/>
  <c r="L45" i="10" s="1"/>
  <c r="J37" i="10"/>
  <c r="L37" i="10" s="1"/>
  <c r="J38" i="10"/>
  <c r="L38" i="10" s="1"/>
  <c r="J54" i="10"/>
  <c r="L54" i="10" s="1"/>
  <c r="J36" i="10"/>
  <c r="L36" i="10" s="1"/>
  <c r="J44" i="10"/>
  <c r="L44" i="10" s="1"/>
  <c r="J7" i="10"/>
  <c r="L7" i="10" s="1"/>
  <c r="J12" i="10"/>
  <c r="L12" i="10" s="1"/>
  <c r="J47" i="10"/>
  <c r="L47" i="10" s="1"/>
  <c r="D12" i="6"/>
  <c r="E15" i="6" s="1"/>
  <c r="E16" i="6" l="1"/>
  <c r="D3" i="6"/>
  <c r="D6" i="6"/>
  <c r="D9" i="6"/>
  <c r="D5" i="6"/>
  <c r="D4" i="6"/>
  <c r="D7" i="6"/>
  <c r="D8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Masaki</author>
  </authors>
  <commentList>
    <comment ref="K5" authorId="0" shapeId="0" xr:uid="{9B19A90D-7C17-466C-9CFF-F9FEF4C8A027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nearest neighborでssDNAの吸光係数を計算した後、(1-h)で補正
参考
http://www.atdbio.com/content/1/Ultraviolet-absorbance-of-oligonucleotides
http://biophysics.idtdna.com/cgi-bin/uvCalculator.cgi
と同じ値になる。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Masaki</author>
  </authors>
  <commentList>
    <comment ref="C3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ミスマッチなしが12.3 ng/uL
1829-GC mismatchが14.0 ng/uL
ミスマッチなし(new)が20 ng/uL</t>
        </r>
      </text>
    </comment>
    <comment ref="B11" authorId="0" shapeId="0" xr:uid="{00000000-0006-0000-0500-000002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PCR産物のほとんどは3'末端にAが1塩基付加されており、T-vectorによるクローニング（TAクローニング）が可能
とあったが、それでいいのか？</t>
        </r>
      </text>
    </comment>
    <comment ref="B14" authorId="0" shapeId="0" xr:uid="{00000000-0006-0000-0500-000003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プライマーの終濃度
※400 uLにした時の濃度</t>
        </r>
      </text>
    </comment>
    <comment ref="E15" authorId="0" shapeId="0" xr:uid="{00000000-0006-0000-0500-000004000000}">
      <text>
        <r>
          <rPr>
            <b/>
            <sz val="9"/>
            <color indexed="81"/>
            <rFont val="MS P ゴシック"/>
            <family val="3"/>
            <charset val="128"/>
          </rPr>
          <t>Masaki:</t>
        </r>
        <r>
          <rPr>
            <sz val="9"/>
            <color indexed="81"/>
            <rFont val="MS P ゴシック"/>
            <family val="3"/>
            <charset val="128"/>
          </rPr>
          <t xml:space="preserve">
全量*プライマー濃度*収量(50%)*塩基の平均物質量*Fw. Rev用*base pair/10^6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<sst xmlns="http://schemas.openxmlformats.org/spreadsheetml/2006/main" count="130" uniqueCount="79">
  <si>
    <t>Rev primer</t>
    <phoneticPr fontId="2"/>
  </si>
  <si>
    <t>Fw primer</t>
    <phoneticPr fontId="2"/>
  </si>
  <si>
    <t>total (ul)</t>
    <phoneticPr fontId="2"/>
  </si>
  <si>
    <t>×</t>
    <phoneticPr fontId="2"/>
  </si>
  <si>
    <t>dNTP</t>
    <phoneticPr fontId="2"/>
  </si>
  <si>
    <t>PCR for gel-shift</t>
    <phoneticPr fontId="2"/>
  </si>
  <si>
    <t>DNA (pBR322)</t>
    <phoneticPr fontId="2"/>
  </si>
  <si>
    <r>
      <rPr>
        <sz val="11"/>
        <rFont val="游明朝 Demibold"/>
        <family val="1"/>
        <charset val="128"/>
      </rPr>
      <t>計</t>
    </r>
    <rPh sb="0" eb="1">
      <t>ケイ</t>
    </rPh>
    <phoneticPr fontId="2"/>
  </si>
  <si>
    <t>ug</t>
    <phoneticPr fontId="2"/>
  </si>
  <si>
    <t>TACCGCCAGTTGTTTACCCTCACAACGTTCCAGTAACCGGGCATGTTCATCATCAGTAACCCGTATCGTGAGCATCCTCTCTCGTTTCATCGGTATCATTACCCCCATGAACAGAAATCCCCCTTACACG</t>
  </si>
  <si>
    <t>Mw</t>
    <phoneticPr fontId="2"/>
  </si>
  <si>
    <t>A</t>
    <phoneticPr fontId="2"/>
  </si>
  <si>
    <t>T</t>
    <phoneticPr fontId="2"/>
  </si>
  <si>
    <t>C</t>
    <phoneticPr fontId="2"/>
  </si>
  <si>
    <t>G</t>
    <phoneticPr fontId="2"/>
  </si>
  <si>
    <t>DNA</t>
    <phoneticPr fontId="2"/>
  </si>
  <si>
    <t>濃度 /μM</t>
    <rPh sb="0" eb="2">
      <t>ノウド</t>
    </rPh>
    <phoneticPr fontId="2"/>
  </si>
  <si>
    <t>pdA</t>
  </si>
  <si>
    <t>pdC</t>
  </si>
  <si>
    <t>pdG</t>
  </si>
  <si>
    <t>pdT</t>
  </si>
  <si>
    <t>dApdA</t>
  </si>
  <si>
    <t>dApdC</t>
  </si>
  <si>
    <t>dApdG</t>
  </si>
  <si>
    <t>dApdT</t>
  </si>
  <si>
    <t>dCpdA</t>
  </si>
  <si>
    <t>dCpdC</t>
  </si>
  <si>
    <t>dCpdG</t>
  </si>
  <si>
    <t>dCpdT</t>
  </si>
  <si>
    <t>dGpdA</t>
  </si>
  <si>
    <t>dGpdC</t>
  </si>
  <si>
    <t>dGpdG</t>
  </si>
  <si>
    <t>dGpdT</t>
  </si>
  <si>
    <t>dTpdA</t>
  </si>
  <si>
    <t>dTpdC</t>
  </si>
  <si>
    <t>dTpdG</t>
  </si>
  <si>
    <t>dTpdT</t>
  </si>
  <si>
    <t>nM</t>
    <phoneticPr fontId="2"/>
  </si>
  <si>
    <t>原液の濃度</t>
    <rPh sb="0" eb="2">
      <t>ゲンエキ</t>
    </rPh>
    <rPh sb="3" eb="5">
      <t>ノウド</t>
    </rPh>
    <phoneticPr fontId="2"/>
  </si>
  <si>
    <t>0.2-1.0 uM</t>
  </si>
  <si>
    <t>0.15-0.3 uM</t>
    <phoneticPr fontId="2"/>
  </si>
  <si>
    <t>終濃度</t>
    <rPh sb="0" eb="1">
      <t>シュウ</t>
    </rPh>
    <rPh sb="1" eb="3">
      <t>ノウド</t>
    </rPh>
    <phoneticPr fontId="2"/>
  </si>
  <si>
    <t>1 ng/uL</t>
    <phoneticPr fontId="2"/>
  </si>
  <si>
    <t>Fw = pBR322_Fw_T1776 TACCGCCAGTTGTTTACCCT</t>
    <phoneticPr fontId="2"/>
  </si>
  <si>
    <t>Rev = pBR322_Rev_G1905 CGTGTAAGGGGGATTTCTGT</t>
    <phoneticPr fontId="2"/>
  </si>
  <si>
    <t>10x PCR Buffer</t>
    <phoneticPr fontId="2"/>
  </si>
  <si>
    <t>KOD-Dash</t>
    <phoneticPr fontId="2"/>
  </si>
  <si>
    <t>2.5 U/uL</t>
    <phoneticPr fontId="2"/>
  </si>
  <si>
    <t>2017/10/10</t>
    <phoneticPr fontId="2"/>
  </si>
  <si>
    <r>
      <t>H</t>
    </r>
    <r>
      <rPr>
        <vertAlign val="subscript"/>
        <sz val="11"/>
        <rFont val="ＭＳ Ｐゴシック"/>
        <family val="1"/>
        <charset val="128"/>
      </rPr>
      <t>2</t>
    </r>
    <r>
      <rPr>
        <sz val="11"/>
        <rFont val="ＭＳ Ｐゴシック"/>
        <family val="1"/>
        <charset val="128"/>
      </rPr>
      <t>O</t>
    </r>
    <phoneticPr fontId="2"/>
  </si>
  <si>
    <r>
      <rPr>
        <sz val="11"/>
        <rFont val="游明朝 Demibold"/>
        <family val="1"/>
        <charset val="128"/>
      </rPr>
      <t>∞</t>
    </r>
    <phoneticPr fontId="2"/>
  </si>
  <si>
    <r>
      <rPr>
        <sz val="11"/>
        <rFont val="游明朝 Demibold"/>
        <family val="1"/>
        <charset val="128"/>
      </rPr>
      <t>予想収量</t>
    </r>
    <rPh sb="0" eb="2">
      <t>ヨソウ</t>
    </rPh>
    <rPh sb="2" eb="4">
      <t>シュウリョウ</t>
    </rPh>
    <phoneticPr fontId="2"/>
  </si>
  <si>
    <r>
      <t>(</t>
    </r>
    <r>
      <rPr>
        <sz val="11"/>
        <rFont val="游明朝 Demibold"/>
        <family val="1"/>
        <charset val="128"/>
      </rPr>
      <t>収量約</t>
    </r>
    <r>
      <rPr>
        <sz val="11"/>
        <rFont val="ＭＳ Ｐゴシック"/>
        <family val="1"/>
        <charset val="128"/>
      </rPr>
      <t>25%</t>
    </r>
    <r>
      <rPr>
        <sz val="11"/>
        <rFont val="游明朝 Demibold"/>
        <family val="1"/>
        <charset val="128"/>
      </rPr>
      <t>で計算</t>
    </r>
    <r>
      <rPr>
        <sz val="11"/>
        <rFont val="ＭＳ Ｐゴシック"/>
        <family val="1"/>
        <charset val="128"/>
      </rPr>
      <t>)</t>
    </r>
    <rPh sb="1" eb="3">
      <t>シュウリョウ</t>
    </rPh>
    <rPh sb="3" eb="4">
      <t>ヤク</t>
    </rPh>
    <rPh sb="8" eb="10">
      <t>ケイサン</t>
    </rPh>
    <phoneticPr fontId="2"/>
  </si>
  <si>
    <r>
      <t>(</t>
    </r>
    <r>
      <rPr>
        <sz val="11"/>
        <rFont val="游明朝 Demibold"/>
        <family val="1"/>
        <charset val="128"/>
      </rPr>
      <t>カラムは</t>
    </r>
    <r>
      <rPr>
        <sz val="11"/>
        <rFont val="ＭＳ Ｐゴシック"/>
        <family val="1"/>
        <charset val="128"/>
      </rPr>
      <t>1</t>
    </r>
    <r>
      <rPr>
        <sz val="11"/>
        <rFont val="游明朝 Demibold"/>
        <family val="1"/>
        <charset val="128"/>
      </rPr>
      <t>本</t>
    </r>
    <r>
      <rPr>
        <sz val="11"/>
        <rFont val="ＭＳ Ｐゴシック"/>
        <family val="1"/>
        <charset val="128"/>
      </rPr>
      <t>10 ug</t>
    </r>
    <r>
      <rPr>
        <sz val="11"/>
        <rFont val="游明朝 Demibold"/>
        <family val="1"/>
        <charset val="128"/>
      </rPr>
      <t>くらいまで可能</t>
    </r>
    <r>
      <rPr>
        <sz val="11"/>
        <rFont val="ＭＳ Ｐゴシック"/>
        <family val="1"/>
        <charset val="128"/>
      </rPr>
      <t>)</t>
    </r>
    <rPh sb="6" eb="7">
      <t>ホン</t>
    </rPh>
    <rPh sb="17" eb="19">
      <t>カノウ</t>
    </rPh>
    <phoneticPr fontId="2"/>
  </si>
  <si>
    <r>
      <t>(100 uL</t>
    </r>
    <r>
      <rPr>
        <sz val="11"/>
        <rFont val="ＭＳ Ｐ明朝"/>
        <family val="1"/>
        <charset val="128"/>
      </rPr>
      <t>なら</t>
    </r>
    <r>
      <rPr>
        <sz val="11"/>
        <rFont val="ＭＳ Ｐゴシック"/>
        <family val="1"/>
        <charset val="128"/>
      </rPr>
      <t>)</t>
    </r>
    <phoneticPr fontId="2"/>
  </si>
  <si>
    <r>
      <t>1</t>
    </r>
    <r>
      <rPr>
        <sz val="11"/>
        <rFont val="游明朝 Demibold"/>
        <family val="1"/>
        <charset val="128"/>
      </rPr>
      <t>本</t>
    </r>
    <r>
      <rPr>
        <sz val="11"/>
        <rFont val="ＭＳ Ｐゴシック"/>
        <family val="1"/>
        <charset val="128"/>
      </rPr>
      <t xml:space="preserve"> 50 uL</t>
    </r>
    <rPh sb="1" eb="2">
      <t>ホン</t>
    </rPh>
    <phoneticPr fontId="2"/>
  </si>
  <si>
    <r>
      <rPr>
        <sz val="11"/>
        <rFont val="游明朝 Demibold"/>
        <family val="1"/>
        <charset val="128"/>
      </rPr>
      <t>本分</t>
    </r>
    <rPh sb="0" eb="2">
      <t>ホンブン</t>
    </rPh>
    <phoneticPr fontId="2"/>
  </si>
  <si>
    <t>TACCGCCAGTTGTTTACCCTCACAACGTTCCAGTAACCGGGCATGTTCATCATCAGTAACCCGTATCGTGAGCATCCTCTCTCGTTTCATCGGTATCATTACCCCCATGAACAGAAATCCCCCTTACACG</t>
    <phoneticPr fontId="2"/>
  </si>
  <si>
    <t>Name</t>
    <phoneticPr fontId="2"/>
  </si>
  <si>
    <t>配列</t>
    <rPh sb="0" eb="2">
      <t>ハイレツ</t>
    </rPh>
    <phoneticPr fontId="2"/>
  </si>
  <si>
    <t>Reverse</t>
    <phoneticPr fontId="2"/>
  </si>
  <si>
    <t>吸光度 入力</t>
    <rPh sb="0" eb="3">
      <t>キュウコウド</t>
    </rPh>
    <rPh sb="4" eb="6">
      <t>ニュウリョク</t>
    </rPh>
    <phoneticPr fontId="2"/>
  </si>
  <si>
    <t>ssDNA</t>
    <phoneticPr fontId="2"/>
  </si>
  <si>
    <t>dsDNA</t>
    <phoneticPr fontId="2"/>
  </si>
  <si>
    <t>Nearest Neighbor</t>
    <phoneticPr fontId="2"/>
  </si>
  <si>
    <t>Wallace</t>
    <phoneticPr fontId="2"/>
  </si>
  <si>
    <t>Base Counts</t>
    <phoneticPr fontId="2"/>
  </si>
  <si>
    <t>Example</t>
    <phoneticPr fontId="2"/>
  </si>
  <si>
    <r>
      <t>ε</t>
    </r>
    <r>
      <rPr>
        <sz val="11"/>
        <rFont val="Meiryo"/>
        <family val="3"/>
        <charset val="128"/>
        <scheme val="minor"/>
      </rPr>
      <t>(ss)</t>
    </r>
    <phoneticPr fontId="2"/>
  </si>
  <si>
    <r>
      <t>ΔH /kcal･mol</t>
    </r>
    <r>
      <rPr>
        <vertAlign val="superscript"/>
        <sz val="11"/>
        <rFont val="Meiryo"/>
        <family val="3"/>
        <charset val="128"/>
        <scheme val="minor"/>
      </rPr>
      <t>-1</t>
    </r>
    <phoneticPr fontId="2"/>
  </si>
  <si>
    <r>
      <t>ΔS /cal･mol</t>
    </r>
    <r>
      <rPr>
        <vertAlign val="superscript"/>
        <sz val="11"/>
        <rFont val="Meiryo"/>
        <family val="3"/>
        <charset val="128"/>
        <scheme val="minor"/>
      </rPr>
      <t>-1</t>
    </r>
    <r>
      <rPr>
        <sz val="11"/>
        <rFont val="Meiryo"/>
        <family val="3"/>
        <charset val="128"/>
        <scheme val="minor"/>
      </rPr>
      <t>K</t>
    </r>
    <r>
      <rPr>
        <vertAlign val="superscript"/>
        <sz val="11"/>
        <rFont val="Meiryo"/>
        <family val="3"/>
        <charset val="128"/>
        <scheme val="minor"/>
      </rPr>
      <t>-1</t>
    </r>
    <phoneticPr fontId="2"/>
  </si>
  <si>
    <r>
      <rPr>
        <i/>
        <sz val="9"/>
        <rFont val="Meiryo"/>
        <family val="3"/>
        <charset val="128"/>
        <scheme val="minor"/>
      </rPr>
      <t>T</t>
    </r>
    <r>
      <rPr>
        <vertAlign val="subscript"/>
        <sz val="9"/>
        <rFont val="Meiryo"/>
        <family val="3"/>
        <charset val="128"/>
        <scheme val="minor"/>
      </rPr>
      <t xml:space="preserve">m </t>
    </r>
    <r>
      <rPr>
        <sz val="9"/>
        <rFont val="Meiryo"/>
        <family val="3"/>
        <charset val="128"/>
        <scheme val="minor"/>
      </rPr>
      <t>/°C</t>
    </r>
    <phoneticPr fontId="2"/>
  </si>
  <si>
    <r>
      <rPr>
        <i/>
        <sz val="9"/>
        <rFont val="Meiryo"/>
        <family val="3"/>
        <charset val="128"/>
        <scheme val="minor"/>
      </rPr>
      <t>ε</t>
    </r>
    <r>
      <rPr>
        <vertAlign val="subscript"/>
        <sz val="9"/>
        <rFont val="Meiryo"/>
        <family val="3"/>
        <charset val="128"/>
        <scheme val="minor"/>
      </rPr>
      <t>260 nm</t>
    </r>
    <r>
      <rPr>
        <sz val="9"/>
        <rFont val="Meiryo"/>
        <family val="3"/>
        <charset val="128"/>
        <scheme val="minor"/>
      </rPr>
      <t xml:space="preserve"> /cm</t>
    </r>
    <r>
      <rPr>
        <vertAlign val="superscript"/>
        <sz val="9"/>
        <rFont val="Meiryo"/>
        <family val="3"/>
        <charset val="128"/>
        <scheme val="minor"/>
      </rPr>
      <t>−1</t>
    </r>
    <r>
      <rPr>
        <sz val="9"/>
        <rFont val="Meiryo"/>
        <family val="3"/>
        <charset val="128"/>
        <scheme val="minor"/>
      </rPr>
      <t>･M</t>
    </r>
    <r>
      <rPr>
        <vertAlign val="superscript"/>
        <sz val="9"/>
        <rFont val="Meiryo"/>
        <family val="3"/>
        <charset val="128"/>
        <scheme val="minor"/>
      </rPr>
      <t>−1</t>
    </r>
    <phoneticPr fontId="2"/>
  </si>
  <si>
    <r>
      <t>濃度 /ng･μL</t>
    </r>
    <r>
      <rPr>
        <vertAlign val="superscript"/>
        <sz val="9"/>
        <rFont val="Meiryo"/>
        <family val="3"/>
        <charset val="128"/>
        <scheme val="minor"/>
      </rPr>
      <t>−1</t>
    </r>
    <rPh sb="0" eb="2">
      <t>ノウド</t>
    </rPh>
    <phoneticPr fontId="2"/>
  </si>
  <si>
    <t>Base Counts (Rev)</t>
    <phoneticPr fontId="2"/>
  </si>
  <si>
    <t>Mw (ds)</t>
    <phoneticPr fontId="2"/>
  </si>
  <si>
    <r>
      <t>[Na</t>
    </r>
    <r>
      <rPr>
        <vertAlign val="superscript"/>
        <sz val="9"/>
        <rFont val="Meiryo"/>
        <family val="3"/>
        <charset val="128"/>
        <scheme val="minor"/>
      </rPr>
      <t>+</t>
    </r>
    <r>
      <rPr>
        <sz val="9"/>
        <rFont val="Meiryo"/>
        <family val="3"/>
        <charset val="128"/>
        <scheme val="minor"/>
      </rPr>
      <t>] /mM</t>
    </r>
    <phoneticPr fontId="2"/>
  </si>
  <si>
    <t>[ssDNA] /μM</t>
    <phoneticPr fontId="2"/>
  </si>
  <si>
    <t>GC /%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</si>
</sst>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 "/>
    <numFmt numFmtId="177" formatCode="0.00_);[Red]\(0.00\)"/>
    <numFmt numFmtId="178" formatCode="0.0\ &quot;uM&quot;"/>
    <numFmt numFmtId="179" formatCode="0.00_ "/>
    <numFmt numFmtId="180" formatCode="h:mm;@"/>
    <numFmt numFmtId="181" formatCode="0_ "/>
    <numFmt numFmtId="182" formatCode="0.0\ &quot;mM&quot;"/>
    <numFmt numFmtId="183" formatCode="0&quot; bps&quot;"/>
    <numFmt numFmtId="184" formatCode="0.0&quot; ng/uL&quot;"/>
    <numFmt numFmtId="185" formatCode="0.0\ &quot;ng/μL&quot;"/>
    <numFmt numFmtId="186" formatCode="0.0"/>
    <numFmt numFmtId="187" formatCode="0.000"/>
  </numFmts>
  <fonts count="2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明朝 Demibold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.5"/>
      <name val="Times New Roman"/>
      <family val="1"/>
    </font>
    <font>
      <sz val="10.5"/>
      <name val="Times New Roman"/>
      <family val="1"/>
    </font>
    <font>
      <sz val="10.5"/>
      <name val="ＭＳ Ｐ明朝"/>
      <family val="1"/>
      <charset val="128"/>
    </font>
    <font>
      <sz val="10.5"/>
      <name val="Meiryo"/>
      <family val="1"/>
      <charset val="128"/>
      <scheme val="minor"/>
    </font>
    <font>
      <sz val="10.5"/>
      <name val="Times New Roman"/>
      <family val="1"/>
      <charset val="128"/>
    </font>
    <font>
      <vertAlign val="subscript"/>
      <sz val="11"/>
      <name val="ＭＳ Ｐゴシック"/>
      <family val="1"/>
      <charset val="128"/>
    </font>
    <font>
      <sz val="11"/>
      <name val="ＭＳ Ｐゴシック"/>
      <family val="1"/>
      <charset val="128"/>
    </font>
    <font>
      <sz val="11"/>
      <name val="ＭＳ Ｐ明朝"/>
      <family val="1"/>
      <charset val="128"/>
    </font>
    <font>
      <sz val="11"/>
      <name val="Meiryo"/>
      <family val="3"/>
      <charset val="128"/>
      <scheme val="minor"/>
    </font>
    <font>
      <i/>
      <sz val="11"/>
      <name val="Meiryo"/>
      <family val="3"/>
      <charset val="128"/>
      <scheme val="minor"/>
    </font>
    <font>
      <vertAlign val="superscript"/>
      <sz val="11"/>
      <name val="Meiryo"/>
      <family val="3"/>
      <charset val="128"/>
      <scheme val="minor"/>
    </font>
    <font>
      <sz val="9"/>
      <name val="Meiryo"/>
      <family val="3"/>
      <charset val="128"/>
      <scheme val="minor"/>
    </font>
    <font>
      <i/>
      <sz val="9"/>
      <name val="Meiryo"/>
      <family val="3"/>
      <charset val="128"/>
      <scheme val="minor"/>
    </font>
    <font>
      <vertAlign val="subscript"/>
      <sz val="9"/>
      <name val="Meiryo"/>
      <family val="3"/>
      <charset val="128"/>
      <scheme val="minor"/>
    </font>
    <font>
      <vertAlign val="superscript"/>
      <sz val="9"/>
      <name val="Meiryo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 diagonalDown="1">
      <left/>
      <right/>
      <top/>
      <bottom/>
      <diagonal style="thin">
        <color indexed="64"/>
      </diagonal>
    </border>
    <border>
      <left/>
      <right style="medium">
        <color indexed="64"/>
      </right>
      <top style="thin">
        <color indexed="64"/>
      </top>
      <bottom/>
      <diagonal/>
    </border>
    <border diagonalUp="1">
      <left/>
      <right/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1">
    <xf numFmtId="0" fontId="0" fillId="0" borderId="0" xfId="0"/>
    <xf numFmtId="177" fontId="6" fillId="0" borderId="0" xfId="0" applyNumberFormat="1" applyFont="1"/>
    <xf numFmtId="0" fontId="7" fillId="0" borderId="0" xfId="0" applyFont="1" applyBorder="1"/>
    <xf numFmtId="49" fontId="7" fillId="3" borderId="23" xfId="0" applyNumberFormat="1" applyFont="1" applyFill="1" applyBorder="1" applyAlignment="1">
      <alignment horizontal="center" vertical="center" wrapText="1" shrinkToFit="1"/>
    </xf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horizontal="center"/>
    </xf>
    <xf numFmtId="176" fontId="7" fillId="0" borderId="0" xfId="0" applyNumberFormat="1" applyFont="1" applyAlignment="1">
      <alignment horizontal="center"/>
    </xf>
    <xf numFmtId="0" fontId="7" fillId="3" borderId="3" xfId="0" applyFont="1" applyFill="1" applyBorder="1" applyAlignment="1">
      <alignment horizontal="center" vertical="center" wrapText="1" shrinkToFit="1"/>
    </xf>
    <xf numFmtId="0" fontId="9" fillId="3" borderId="32" xfId="0" applyFont="1" applyFill="1" applyBorder="1" applyAlignment="1">
      <alignment horizontal="center" vertical="center" wrapText="1" shrinkToFit="1"/>
    </xf>
    <xf numFmtId="183" fontId="7" fillId="3" borderId="2" xfId="0" applyNumberFormat="1" applyFont="1" applyFill="1" applyBorder="1" applyAlignment="1">
      <alignment horizontal="center" vertical="center" wrapText="1"/>
    </xf>
    <xf numFmtId="0" fontId="7" fillId="0" borderId="33" xfId="0" applyFont="1" applyFill="1" applyBorder="1" applyAlignment="1">
      <alignment horizontal="center" vertical="center" wrapText="1" shrinkToFit="1"/>
    </xf>
    <xf numFmtId="184" fontId="7" fillId="4" borderId="19" xfId="0" applyNumberFormat="1" applyFont="1" applyFill="1" applyBorder="1" applyAlignment="1">
      <alignment horizontal="center" vertical="center" wrapText="1" shrinkToFit="1"/>
    </xf>
    <xf numFmtId="177" fontId="7" fillId="0" borderId="16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/>
    <xf numFmtId="182" fontId="7" fillId="0" borderId="19" xfId="0" applyNumberFormat="1" applyFont="1" applyFill="1" applyBorder="1" applyAlignment="1">
      <alignment horizontal="center" vertical="center" wrapText="1" shrinkToFit="1"/>
    </xf>
    <xf numFmtId="0" fontId="7" fillId="0" borderId="9" xfId="0" applyFont="1" applyFill="1" applyBorder="1" applyAlignment="1">
      <alignment horizontal="center" vertical="center"/>
    </xf>
    <xf numFmtId="176" fontId="7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176" fontId="7" fillId="0" borderId="6" xfId="0" applyNumberFormat="1" applyFont="1" applyBorder="1" applyAlignment="1">
      <alignment horizontal="center"/>
    </xf>
    <xf numFmtId="0" fontId="7" fillId="3" borderId="33" xfId="0" applyFont="1" applyFill="1" applyBorder="1" applyAlignment="1">
      <alignment horizontal="center" vertical="center" wrapText="1" shrinkToFit="1"/>
    </xf>
    <xf numFmtId="178" fontId="7" fillId="4" borderId="19" xfId="0" applyNumberFormat="1" applyFont="1" applyFill="1" applyBorder="1" applyAlignment="1">
      <alignment horizontal="center" vertical="center" wrapText="1" shrinkToFit="1"/>
    </xf>
    <xf numFmtId="176" fontId="7" fillId="3" borderId="9" xfId="0" applyNumberFormat="1" applyFont="1" applyFill="1" applyBorder="1" applyAlignment="1">
      <alignment horizontal="center" vertical="center"/>
    </xf>
    <xf numFmtId="20" fontId="7" fillId="0" borderId="8" xfId="0" applyNumberFormat="1" applyFont="1" applyBorder="1" applyAlignment="1">
      <alignment horizontal="center"/>
    </xf>
    <xf numFmtId="20" fontId="7" fillId="0" borderId="0" xfId="0" applyNumberFormat="1" applyFont="1" applyAlignment="1">
      <alignment horizontal="center"/>
    </xf>
    <xf numFmtId="181" fontId="7" fillId="0" borderId="11" xfId="0" applyNumberFormat="1" applyFont="1" applyBorder="1" applyAlignment="1">
      <alignment horizontal="center"/>
    </xf>
    <xf numFmtId="176" fontId="7" fillId="0" borderId="13" xfId="0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180" fontId="7" fillId="0" borderId="6" xfId="0" applyNumberFormat="1" applyFont="1" applyBorder="1" applyAlignment="1">
      <alignment horizontal="center"/>
    </xf>
    <xf numFmtId="0" fontId="7" fillId="0" borderId="35" xfId="0" applyFont="1" applyFill="1" applyBorder="1" applyAlignment="1">
      <alignment horizontal="center" vertical="center" wrapText="1" shrinkToFit="1"/>
    </xf>
    <xf numFmtId="179" fontId="7" fillId="0" borderId="9" xfId="0" applyNumberFormat="1" applyFont="1" applyFill="1" applyBorder="1" applyAlignment="1">
      <alignment horizontal="center" vertical="center"/>
    </xf>
    <xf numFmtId="176" fontId="7" fillId="0" borderId="0" xfId="0" applyNumberFormat="1" applyFont="1"/>
    <xf numFmtId="176" fontId="7" fillId="0" borderId="11" xfId="0" applyNumberFormat="1" applyFont="1" applyBorder="1" applyAlignment="1">
      <alignment horizontal="center"/>
    </xf>
    <xf numFmtId="179" fontId="7" fillId="3" borderId="2" xfId="0" applyNumberFormat="1" applyFont="1" applyFill="1" applyBorder="1" applyAlignment="1">
      <alignment horizontal="center" vertical="center"/>
    </xf>
    <xf numFmtId="20" fontId="7" fillId="0" borderId="0" xfId="0" applyNumberFormat="1" applyFont="1" applyBorder="1" applyAlignment="1"/>
    <xf numFmtId="0" fontId="7" fillId="3" borderId="7" xfId="0" applyFont="1" applyFill="1" applyBorder="1" applyAlignment="1">
      <alignment horizontal="center" vertical="center" wrapText="1" shrinkToFit="1"/>
    </xf>
    <xf numFmtId="0" fontId="7" fillId="3" borderId="6" xfId="0" applyFont="1" applyFill="1" applyBorder="1" applyAlignment="1">
      <alignment horizontal="center" vertical="center" wrapText="1" shrinkToFit="1"/>
    </xf>
    <xf numFmtId="179" fontId="7" fillId="3" borderId="6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7" fillId="3" borderId="34" xfId="0" applyFont="1" applyFill="1" applyBorder="1" applyAlignment="1">
      <alignment horizontal="center" vertical="center" wrapText="1" shrinkToFit="1"/>
    </xf>
    <xf numFmtId="0" fontId="7" fillId="3" borderId="32" xfId="0" applyFont="1" applyFill="1" applyBorder="1" applyAlignment="1">
      <alignment horizontal="center" vertical="center" wrapText="1" shrinkToFit="1"/>
    </xf>
    <xf numFmtId="179" fontId="7" fillId="3" borderId="4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 shrinkToFit="1"/>
    </xf>
    <xf numFmtId="178" fontId="7" fillId="4" borderId="1" xfId="0" applyNumberFormat="1" applyFont="1" applyFill="1" applyBorder="1" applyAlignment="1">
      <alignment horizontal="center" vertical="center" wrapText="1" shrinkToFit="1"/>
    </xf>
    <xf numFmtId="0" fontId="7" fillId="0" borderId="0" xfId="0" applyFont="1" applyAlignment="1">
      <alignment horizontal="left"/>
    </xf>
    <xf numFmtId="0" fontId="7" fillId="0" borderId="1" xfId="0" applyFont="1" applyBorder="1" applyAlignment="1">
      <alignment horizontal="center" vertical="center"/>
    </xf>
    <xf numFmtId="185" fontId="7" fillId="4" borderId="1" xfId="0" applyNumberFormat="1" applyFont="1" applyFill="1" applyBorder="1" applyAlignment="1">
      <alignment horizontal="center" vertical="center" wrapText="1" shrinkToFit="1"/>
    </xf>
    <xf numFmtId="0" fontId="7" fillId="0" borderId="0" xfId="0" applyFont="1" applyAlignment="1">
      <alignment horizontal="center" vertical="center"/>
    </xf>
    <xf numFmtId="0" fontId="7" fillId="4" borderId="0" xfId="0" applyFont="1" applyFill="1"/>
    <xf numFmtId="177" fontId="7" fillId="0" borderId="0" xfId="0" applyNumberFormat="1" applyFont="1"/>
    <xf numFmtId="177" fontId="7" fillId="0" borderId="0" xfId="0" applyNumberFormat="1" applyFont="1" applyAlignment="1">
      <alignment horizontal="center"/>
    </xf>
    <xf numFmtId="177" fontId="7" fillId="0" borderId="0" xfId="0" applyNumberFormat="1" applyFont="1" applyBorder="1"/>
    <xf numFmtId="181" fontId="7" fillId="0" borderId="6" xfId="0" applyNumberFormat="1" applyFont="1" applyBorder="1" applyAlignment="1">
      <alignment horizontal="center"/>
    </xf>
    <xf numFmtId="0" fontId="14" fillId="0" borderId="0" xfId="0" applyFont="1"/>
    <xf numFmtId="0" fontId="14" fillId="0" borderId="32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7" fillId="0" borderId="0" xfId="0" applyFont="1"/>
    <xf numFmtId="0" fontId="17" fillId="0" borderId="17" xfId="0" applyFont="1" applyBorder="1"/>
    <xf numFmtId="0" fontId="17" fillId="0" borderId="21" xfId="0" applyFont="1" applyBorder="1"/>
    <xf numFmtId="0" fontId="17" fillId="0" borderId="24" xfId="0" applyFont="1" applyBorder="1"/>
    <xf numFmtId="0" fontId="17" fillId="0" borderId="22" xfId="0" applyFont="1" applyBorder="1"/>
    <xf numFmtId="0" fontId="17" fillId="0" borderId="3" xfId="0" applyFont="1" applyBorder="1"/>
    <xf numFmtId="0" fontId="17" fillId="0" borderId="2" xfId="0" applyFont="1" applyBorder="1"/>
    <xf numFmtId="0" fontId="17" fillId="0" borderId="17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7" fillId="0" borderId="29" xfId="0" applyFont="1" applyBorder="1"/>
    <xf numFmtId="0" fontId="17" fillId="4" borderId="30" xfId="0" applyFont="1" applyFill="1" applyBorder="1"/>
    <xf numFmtId="0" fontId="17" fillId="0" borderId="30" xfId="0" applyFont="1" applyBorder="1"/>
    <xf numFmtId="0" fontId="17" fillId="0" borderId="38" xfId="0" applyFont="1" applyBorder="1"/>
    <xf numFmtId="0" fontId="17" fillId="4" borderId="31" xfId="0" applyFont="1" applyFill="1" applyBorder="1"/>
    <xf numFmtId="0" fontId="17" fillId="0" borderId="31" xfId="0" applyFont="1" applyBorder="1"/>
    <xf numFmtId="0" fontId="17" fillId="0" borderId="10" xfId="0" applyFont="1" applyBorder="1"/>
    <xf numFmtId="0" fontId="17" fillId="4" borderId="1" xfId="0" applyFont="1" applyFill="1" applyBorder="1"/>
    <xf numFmtId="0" fontId="17" fillId="0" borderId="1" xfId="0" applyFont="1" applyBorder="1"/>
    <xf numFmtId="0" fontId="17" fillId="0" borderId="36" xfId="0" applyFont="1" applyBorder="1"/>
    <xf numFmtId="0" fontId="17" fillId="4" borderId="20" xfId="0" applyFont="1" applyFill="1" applyBorder="1"/>
    <xf numFmtId="0" fontId="17" fillId="0" borderId="20" xfId="0" applyFont="1" applyBorder="1"/>
    <xf numFmtId="0" fontId="17" fillId="0" borderId="28" xfId="0" applyFont="1" applyBorder="1"/>
    <xf numFmtId="0" fontId="17" fillId="4" borderId="25" xfId="0" applyFont="1" applyFill="1" applyBorder="1"/>
    <xf numFmtId="0" fontId="17" fillId="0" borderId="25" xfId="0" applyFont="1" applyBorder="1"/>
    <xf numFmtId="0" fontId="17" fillId="0" borderId="37" xfId="0" applyFont="1" applyBorder="1"/>
    <xf numFmtId="0" fontId="17" fillId="4" borderId="27" xfId="0" applyFont="1" applyFill="1" applyBorder="1"/>
    <xf numFmtId="0" fontId="17" fillId="0" borderId="27" xfId="0" applyFont="1" applyBorder="1"/>
    <xf numFmtId="0" fontId="14" fillId="0" borderId="21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0" borderId="17" xfId="1" applyFont="1" applyBorder="1" applyAlignment="1">
      <alignment horizontal="center" vertical="center"/>
    </xf>
    <xf numFmtId="0" fontId="14" fillId="0" borderId="32" xfId="0" applyFont="1" applyBorder="1"/>
    <xf numFmtId="187" fontId="17" fillId="0" borderId="30" xfId="0" applyNumberFormat="1" applyFont="1" applyBorder="1"/>
    <xf numFmtId="2" fontId="17" fillId="0" borderId="30" xfId="0" applyNumberFormat="1" applyFont="1" applyBorder="1"/>
    <xf numFmtId="1" fontId="17" fillId="0" borderId="31" xfId="0" applyNumberFormat="1" applyFont="1" applyBorder="1"/>
    <xf numFmtId="186" fontId="17" fillId="0" borderId="31" xfId="0" applyNumberFormat="1" applyFont="1" applyBorder="1"/>
    <xf numFmtId="0" fontId="17" fillId="4" borderId="0" xfId="0" applyFont="1" applyFill="1"/>
    <xf numFmtId="0" fontId="17" fillId="0" borderId="3" xfId="0" applyFont="1" applyBorder="1" applyAlignment="1">
      <alignment horizontal="center" vertical="center"/>
    </xf>
    <xf numFmtId="0" fontId="17" fillId="0" borderId="41" xfId="0" applyFont="1" applyBorder="1"/>
    <xf numFmtId="0" fontId="17" fillId="0" borderId="33" xfId="0" applyFont="1" applyBorder="1"/>
    <xf numFmtId="0" fontId="17" fillId="0" borderId="42" xfId="0" applyFont="1" applyBorder="1"/>
    <xf numFmtId="2" fontId="17" fillId="0" borderId="1" xfId="0" applyNumberFormat="1" applyFont="1" applyBorder="1"/>
    <xf numFmtId="2" fontId="17" fillId="0" borderId="25" xfId="0" applyNumberFormat="1" applyFont="1" applyBorder="1"/>
    <xf numFmtId="187" fontId="17" fillId="0" borderId="1" xfId="0" applyNumberFormat="1" applyFont="1" applyBorder="1"/>
    <xf numFmtId="187" fontId="17" fillId="0" borderId="25" xfId="0" applyNumberFormat="1" applyFont="1" applyBorder="1"/>
    <xf numFmtId="2" fontId="17" fillId="0" borderId="29" xfId="0" applyNumberFormat="1" applyFont="1" applyBorder="1"/>
    <xf numFmtId="2" fontId="17" fillId="0" borderId="10" xfId="0" applyNumberFormat="1" applyFont="1" applyBorder="1"/>
    <xf numFmtId="2" fontId="17" fillId="0" borderId="28" xfId="0" applyNumberFormat="1" applyFont="1" applyBorder="1"/>
    <xf numFmtId="1" fontId="17" fillId="0" borderId="20" xfId="0" applyNumberFormat="1" applyFont="1" applyBorder="1"/>
    <xf numFmtId="1" fontId="17" fillId="0" borderId="27" xfId="0" applyNumberFormat="1" applyFont="1" applyBorder="1"/>
    <xf numFmtId="0" fontId="17" fillId="4" borderId="29" xfId="0" applyFont="1" applyFill="1" applyBorder="1"/>
    <xf numFmtId="0" fontId="17" fillId="4" borderId="10" xfId="0" applyFont="1" applyFill="1" applyBorder="1"/>
    <xf numFmtId="0" fontId="17" fillId="4" borderId="28" xfId="0" applyFont="1" applyFill="1" applyBorder="1"/>
    <xf numFmtId="0" fontId="17" fillId="0" borderId="32" xfId="0" applyFont="1" applyBorder="1"/>
    <xf numFmtId="0" fontId="17" fillId="0" borderId="32" xfId="0" applyFont="1" applyBorder="1" applyAlignment="1">
      <alignment horizontal="center" vertical="center"/>
    </xf>
    <xf numFmtId="1" fontId="17" fillId="0" borderId="16" xfId="0" applyNumberFormat="1" applyFont="1" applyBorder="1"/>
    <xf numFmtId="1" fontId="17" fillId="0" borderId="19" xfId="0" applyNumberFormat="1" applyFont="1" applyBorder="1"/>
    <xf numFmtId="1" fontId="17" fillId="0" borderId="35" xfId="0" applyNumberFormat="1" applyFont="1" applyBorder="1"/>
    <xf numFmtId="0" fontId="7" fillId="0" borderId="12" xfId="0" applyFont="1" applyBorder="1" applyAlignment="1">
      <alignment horizontal="center"/>
    </xf>
    <xf numFmtId="20" fontId="7" fillId="0" borderId="12" xfId="0" applyNumberFormat="1" applyFont="1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Quiet">
      <a:dk1>
        <a:srgbClr val="000000"/>
      </a:dk1>
      <a:lt1>
        <a:srgbClr val="FFFFFF"/>
      </a:lt1>
      <a:dk2>
        <a:srgbClr val="CC0000"/>
      </a:dk2>
      <a:lt2>
        <a:srgbClr val="CC6600"/>
      </a:lt2>
      <a:accent1>
        <a:srgbClr val="096589"/>
      </a:accent1>
      <a:accent2>
        <a:srgbClr val="253137"/>
      </a:accent2>
      <a:accent3>
        <a:srgbClr val="3E5641"/>
      </a:accent3>
      <a:accent4>
        <a:srgbClr val="AD1F23"/>
      </a:accent4>
      <a:accent5>
        <a:srgbClr val="A38560"/>
      </a:accent5>
      <a:accent6>
        <a:srgbClr val="E7E247"/>
      </a:accent6>
      <a:hlink>
        <a:srgbClr val="6B9F25"/>
      </a:hlink>
      <a:folHlink>
        <a:srgbClr val="B26B02"/>
      </a:folHlink>
    </a:clrScheme>
    <a:fontScheme name="スライドメイリオ">
      <a:majorFont>
        <a:latin typeface="Arial Bold"/>
        <a:ea typeface="メイリオ"/>
        <a:cs typeface=""/>
      </a:majorFont>
      <a:minorFont>
        <a:latin typeface="Arial"/>
        <a:ea typeface="Meiryo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8E5C-34E0-409E-BC63-5183BAD94AA5}">
  <sheetPr codeName="Sheet1"/>
  <dimension ref="B1:CD55"/>
  <sheetViews>
    <sheetView tabSelected="1" zoomScale="70" zoomScaleNormal="70" workbookViewId="0">
      <selection activeCell="K6" sqref="K6"/>
    </sheetView>
  </sheetViews>
  <sheetFormatPr defaultRowHeight="14.5"/>
  <cols>
    <col min="1" max="1" width="2.7265625" style="76" customWidth="1"/>
    <col min="2" max="2" width="17.6328125" style="76" customWidth="1"/>
    <col min="3" max="4" width="33.6328125" style="76" customWidth="1"/>
    <col min="5" max="5" width="13.1796875" style="76" customWidth="1"/>
    <col min="6" max="6" width="15.1796875" style="76" customWidth="1"/>
    <col min="7" max="9" width="11.6328125" style="76" customWidth="1"/>
    <col min="10" max="10" width="15.1796875" style="76" customWidth="1"/>
    <col min="11" max="13" width="11.6328125" style="76" customWidth="1"/>
    <col min="14" max="15" width="15.1796875" style="76" customWidth="1"/>
    <col min="16" max="16" width="10.54296875" style="76" customWidth="1"/>
    <col min="17" max="60" width="6" style="76" hidden="1" customWidth="1"/>
    <col min="61" max="61" width="2.7265625" style="76" hidden="1" customWidth="1"/>
    <col min="62" max="62" width="19.08984375" style="76" hidden="1" customWidth="1"/>
    <col min="63" max="82" width="8.7265625" style="76" hidden="1" customWidth="1"/>
    <col min="83" max="16384" width="8.7265625" style="76"/>
  </cols>
  <sheetData>
    <row r="1" spans="2:82" ht="14.5" customHeight="1"/>
    <row r="2" spans="2:82" ht="14.5" customHeight="1">
      <c r="N2" s="76" t="s">
        <v>76</v>
      </c>
      <c r="O2" s="76" t="s">
        <v>77</v>
      </c>
    </row>
    <row r="3" spans="2:82" ht="14.5" customHeight="1" thickBot="1">
      <c r="N3" s="115">
        <v>50</v>
      </c>
      <c r="O3" s="115">
        <v>0.5</v>
      </c>
    </row>
    <row r="4" spans="2:82" ht="14.5" customHeight="1" thickBot="1">
      <c r="B4" s="77"/>
      <c r="C4" s="78"/>
      <c r="D4" s="78"/>
      <c r="E4" s="80"/>
      <c r="F4" s="81" t="s">
        <v>62</v>
      </c>
      <c r="G4" s="79"/>
      <c r="H4" s="79"/>
      <c r="I4" s="82"/>
      <c r="J4" s="81" t="s">
        <v>63</v>
      </c>
      <c r="K4" s="79"/>
      <c r="L4" s="79"/>
      <c r="M4" s="82"/>
      <c r="N4" s="81" t="s">
        <v>71</v>
      </c>
      <c r="O4" s="82"/>
      <c r="P4" s="132"/>
      <c r="Q4" s="81" t="s">
        <v>66</v>
      </c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82"/>
      <c r="AO4" s="81" t="s">
        <v>74</v>
      </c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82"/>
      <c r="BJ4" s="60"/>
      <c r="BK4" s="61" t="s">
        <v>17</v>
      </c>
      <c r="BL4" s="62" t="s">
        <v>18</v>
      </c>
      <c r="BM4" s="62" t="s">
        <v>19</v>
      </c>
      <c r="BN4" s="63" t="s">
        <v>20</v>
      </c>
      <c r="BO4" s="61" t="s">
        <v>21</v>
      </c>
      <c r="BP4" s="62" t="s">
        <v>22</v>
      </c>
      <c r="BQ4" s="62" t="s">
        <v>23</v>
      </c>
      <c r="BR4" s="62" t="s">
        <v>24</v>
      </c>
      <c r="BS4" s="62" t="s">
        <v>25</v>
      </c>
      <c r="BT4" s="62" t="s">
        <v>26</v>
      </c>
      <c r="BU4" s="62" t="s">
        <v>27</v>
      </c>
      <c r="BV4" s="62" t="s">
        <v>28</v>
      </c>
      <c r="BW4" s="62" t="s">
        <v>29</v>
      </c>
      <c r="BX4" s="62" t="s">
        <v>30</v>
      </c>
      <c r="BY4" s="62" t="s">
        <v>31</v>
      </c>
      <c r="BZ4" s="62" t="s">
        <v>32</v>
      </c>
      <c r="CA4" s="62" t="s">
        <v>33</v>
      </c>
      <c r="CB4" s="62" t="s">
        <v>34</v>
      </c>
      <c r="CC4" s="62" t="s">
        <v>35</v>
      </c>
      <c r="CD4" s="63" t="s">
        <v>36</v>
      </c>
    </row>
    <row r="5" spans="2:82" ht="14.5" customHeight="1" thickBot="1">
      <c r="B5" s="83" t="s">
        <v>58</v>
      </c>
      <c r="C5" s="84" t="s">
        <v>59</v>
      </c>
      <c r="D5" s="84" t="s">
        <v>60</v>
      </c>
      <c r="E5" s="86" t="s">
        <v>61</v>
      </c>
      <c r="F5" s="87" t="s">
        <v>72</v>
      </c>
      <c r="G5" s="84" t="s">
        <v>16</v>
      </c>
      <c r="H5" s="84" t="s">
        <v>73</v>
      </c>
      <c r="I5" s="86" t="s">
        <v>10</v>
      </c>
      <c r="J5" s="83" t="s">
        <v>72</v>
      </c>
      <c r="K5" s="84" t="s">
        <v>16</v>
      </c>
      <c r="L5" s="84" t="s">
        <v>73</v>
      </c>
      <c r="M5" s="86" t="s">
        <v>10</v>
      </c>
      <c r="N5" s="83" t="s">
        <v>64</v>
      </c>
      <c r="O5" s="86" t="s">
        <v>65</v>
      </c>
      <c r="P5" s="133" t="s">
        <v>78</v>
      </c>
      <c r="Q5" s="116" t="s">
        <v>11</v>
      </c>
      <c r="R5" s="85" t="s">
        <v>13</v>
      </c>
      <c r="S5" s="85" t="s">
        <v>14</v>
      </c>
      <c r="T5" s="85" t="s">
        <v>12</v>
      </c>
      <c r="U5" s="85" t="s">
        <v>17</v>
      </c>
      <c r="V5" s="85" t="s">
        <v>18</v>
      </c>
      <c r="W5" s="85" t="s">
        <v>19</v>
      </c>
      <c r="X5" s="85" t="s">
        <v>20</v>
      </c>
      <c r="Y5" s="85" t="s">
        <v>21</v>
      </c>
      <c r="Z5" s="85" t="s">
        <v>22</v>
      </c>
      <c r="AA5" s="85" t="s">
        <v>23</v>
      </c>
      <c r="AB5" s="85" t="s">
        <v>24</v>
      </c>
      <c r="AC5" s="85" t="s">
        <v>25</v>
      </c>
      <c r="AD5" s="85" t="s">
        <v>26</v>
      </c>
      <c r="AE5" s="85" t="s">
        <v>27</v>
      </c>
      <c r="AF5" s="85" t="s">
        <v>28</v>
      </c>
      <c r="AG5" s="85" t="s">
        <v>29</v>
      </c>
      <c r="AH5" s="85" t="s">
        <v>30</v>
      </c>
      <c r="AI5" s="85" t="s">
        <v>31</v>
      </c>
      <c r="AJ5" s="85" t="s">
        <v>32</v>
      </c>
      <c r="AK5" s="85" t="s">
        <v>33</v>
      </c>
      <c r="AL5" s="85" t="s">
        <v>34</v>
      </c>
      <c r="AM5" s="85" t="s">
        <v>35</v>
      </c>
      <c r="AN5" s="86" t="s">
        <v>36</v>
      </c>
      <c r="AO5" s="116" t="s">
        <v>17</v>
      </c>
      <c r="AP5" s="85" t="s">
        <v>18</v>
      </c>
      <c r="AQ5" s="85" t="s">
        <v>19</v>
      </c>
      <c r="AR5" s="85" t="s">
        <v>20</v>
      </c>
      <c r="AS5" s="85" t="s">
        <v>21</v>
      </c>
      <c r="AT5" s="85" t="s">
        <v>22</v>
      </c>
      <c r="AU5" s="85" t="s">
        <v>23</v>
      </c>
      <c r="AV5" s="85" t="s">
        <v>24</v>
      </c>
      <c r="AW5" s="85" t="s">
        <v>25</v>
      </c>
      <c r="AX5" s="85" t="s">
        <v>26</v>
      </c>
      <c r="AY5" s="85" t="s">
        <v>27</v>
      </c>
      <c r="AZ5" s="85" t="s">
        <v>28</v>
      </c>
      <c r="BA5" s="85" t="s">
        <v>29</v>
      </c>
      <c r="BB5" s="85" t="s">
        <v>30</v>
      </c>
      <c r="BC5" s="85" t="s">
        <v>31</v>
      </c>
      <c r="BD5" s="85" t="s">
        <v>32</v>
      </c>
      <c r="BE5" s="85" t="s">
        <v>33</v>
      </c>
      <c r="BF5" s="85" t="s">
        <v>34</v>
      </c>
      <c r="BG5" s="85" t="s">
        <v>35</v>
      </c>
      <c r="BH5" s="86" t="s">
        <v>36</v>
      </c>
      <c r="BI5" s="88"/>
      <c r="BJ5" s="64" t="s">
        <v>68</v>
      </c>
      <c r="BK5" s="65">
        <v>15400</v>
      </c>
      <c r="BL5" s="66">
        <v>7400</v>
      </c>
      <c r="BM5" s="66">
        <v>11500</v>
      </c>
      <c r="BN5" s="67">
        <v>8700</v>
      </c>
      <c r="BO5" s="65">
        <v>27400</v>
      </c>
      <c r="BP5" s="66">
        <v>21200</v>
      </c>
      <c r="BQ5" s="66">
        <v>25000</v>
      </c>
      <c r="BR5" s="66">
        <v>22800</v>
      </c>
      <c r="BS5" s="66">
        <v>21200</v>
      </c>
      <c r="BT5" s="66">
        <v>14600</v>
      </c>
      <c r="BU5" s="66">
        <v>18000</v>
      </c>
      <c r="BV5" s="66">
        <v>15200</v>
      </c>
      <c r="BW5" s="66">
        <v>25200</v>
      </c>
      <c r="BX5" s="66">
        <v>17600</v>
      </c>
      <c r="BY5" s="66">
        <v>21600</v>
      </c>
      <c r="BZ5" s="66">
        <v>20000</v>
      </c>
      <c r="CA5" s="66">
        <v>23400</v>
      </c>
      <c r="CB5" s="66">
        <v>16200</v>
      </c>
      <c r="CC5" s="66">
        <v>19000</v>
      </c>
      <c r="CD5" s="67">
        <v>16800</v>
      </c>
    </row>
    <row r="6" spans="2:82" ht="14.5" customHeight="1">
      <c r="B6" s="129" t="s">
        <v>67</v>
      </c>
      <c r="C6" s="90" t="s">
        <v>57</v>
      </c>
      <c r="D6" s="91" t="str" cm="1">
        <f t="array" ref="D6">IFERROR(_xlfn.TEXTJOIN("", TRUE, MID(C6, _xlfn.SEQUENCE(LEN(C6), 1, LEN(C6), -1), 1)),"")</f>
        <v>GCACATTCCCCCTAAAGACAAGTACCCCCATTACTATGGCTACTTTGCTCTCTCCTACGAGTGCTATGCCCAATGACTACTACTTGTACGGGCCAATGACCTTGCAACACTCCCATTTGTTGACCGCCAT</v>
      </c>
      <c r="E6" s="93">
        <v>0.40699999999999997</v>
      </c>
      <c r="F6" s="89">
        <f>SUMPRODUCT($Y6:$AN6,Calc!$BO$5:$CD$5)-SUMPRODUCT(Calc!$U6:$X6,Calc!$BK$5:$BN$5)</f>
        <v>1211500</v>
      </c>
      <c r="G6" s="111">
        <f>IFERROR($E6/$F6*POWER(10,6),"")</f>
        <v>0.33594717292612458</v>
      </c>
      <c r="H6" s="112">
        <f>$G6*$I6/1000</f>
        <v>13.304381510524143</v>
      </c>
      <c r="I6" s="114">
        <f>SUMPRODUCT($Q6:$T6,Calc!$BK$10:$BN$10)-62.03</f>
        <v>39602.600000000006</v>
      </c>
      <c r="J6" s="89">
        <f>(1-(0.287*($Q6+$T6)+0.059*($R6+$S6))/(SUM($Q6:$T6)))*(SUMPRODUCT(Calc!$Y6:$AN6,Calc!$BO$5:$CD$5)-SUMPRODUCT($U6:$X6,Calc!$BK$5:$BN$5)+SUMPRODUCT($AS6:$BH6,Calc!$BO$5:$CD$5)-SUMPRODUCT(Calc!$AO6:$AR6,Calc!$BK$5:$BN$5))</f>
        <v>1986862.64</v>
      </c>
      <c r="K6" s="112">
        <f>IFERROR(E6/J6*POWER(10,6),"")</f>
        <v>0.20484556496567874</v>
      </c>
      <c r="L6" s="112">
        <f>K6*M6/1000</f>
        <v>16.428950256973977</v>
      </c>
      <c r="M6" s="94">
        <f>SUMPRODUCT($Q6:$T6,Calc!$BK$11:$BN$11)-79.2*2+17.01*2</f>
        <v>80201.64</v>
      </c>
      <c r="N6" s="124">
        <f>1000*SUMPRODUCT($Y6:$AN6,Calc!$BO$6:$CD$6)/(-10.8+SUMPRODUCT($Y6:$AN6,Calc!$BO$7:$CD$7)+1.987*LN($O$3*POWER(10,-6)/4))-273.15+16.6*LOG10($N$3*POWER(10,-3))</f>
        <v>96.073116207713838</v>
      </c>
      <c r="O6" s="113">
        <f t="shared" ref="O6:O37" si="0">2*($Q6+$T6)+4*($R6+$S6)</f>
        <v>388</v>
      </c>
      <c r="P6" s="134">
        <f>(LEN($C6)-LEN(SUBSTITUTE(SUBSTITUTE($C6,"G",""),"C","")))/LEN($C6)*100</f>
        <v>49.230769230769234</v>
      </c>
      <c r="Q6" s="117">
        <f>LEN($C6)-LEN(SUBSTITUTE($C6,Q$5,""))</f>
        <v>31</v>
      </c>
      <c r="R6" s="92">
        <f>LEN($C6)-LEN(SUBSTITUTE($C6,R$5,""))</f>
        <v>44</v>
      </c>
      <c r="S6" s="92">
        <f>LEN($C6)-LEN(SUBSTITUTE($C6,S$5,""))</f>
        <v>20</v>
      </c>
      <c r="T6" s="92">
        <f>LEN($C6)-LEN(SUBSTITUTE($C6,T$5,""))</f>
        <v>35</v>
      </c>
      <c r="U6" s="92">
        <f>LEN($C6)-LEN(SUBSTITUTE($C6,"A",""))-( LEN(LEFT($C6, 1))-LEN(SUBSTITUTE(LEFT($C6, 1),"A","")) ) - ( LEN(RIGHT($C6, 1))-LEN(SUBSTITUTE(RIGHT($C6, 1),"A","")) )</f>
        <v>31</v>
      </c>
      <c r="V6" s="92">
        <f>LEN($C6)-LEN(SUBSTITUTE($C6,"C",""))-( LEN(LEFT($C6, 1))-LEN(SUBSTITUTE(LEFT($C6, 1),"C","")) ) - ( LEN(RIGHT($C6, 1))-LEN(SUBSTITUTE(RIGHT($C6, 1),"C","")) )</f>
        <v>44</v>
      </c>
      <c r="W6" s="92">
        <f>LEN($C6)-LEN(SUBSTITUTE($C6,"G",""))-( LEN(LEFT($C6, 1))-LEN(SUBSTITUTE(LEFT($C6, 1),"G","")) ) - ( LEN(RIGHT($C6, 1))-LEN(SUBSTITUTE(RIGHT($C6, 1),"G","")) )</f>
        <v>19</v>
      </c>
      <c r="X6" s="92">
        <f>LEN($C6)-LEN(SUBSTITUTE($C6,"T",""))-( LEN(LEFT($C6, 1))-LEN(SUBSTITUTE(LEFT($C6, 1),"T","")) ) - ( LEN(RIGHT($C6, 1))-LEN(SUBSTITUTE(RIGHT($C6, 1),"T","")) )</f>
        <v>34</v>
      </c>
      <c r="Y6" s="92">
        <f>LEN($C6)-LEN( SUBSTITUTE(SUBSTITUTE($C6,"AA","X"),"XX","Y") )+LEN(SUBSTITUTE($C6,"AA","X"))-LEN( SUBSTITUTE(SUBSTITUTE($C6,"AA","X"),"XA","Y") )</f>
        <v>6</v>
      </c>
      <c r="Z6" s="92">
        <f>LEN($C6)-LEN(SUBSTITUTE($C6,"AC","X"))</f>
        <v>10</v>
      </c>
      <c r="AA6" s="92">
        <f>LEN($C6)-LEN(SUBSTITUTE($C6,"AG","X"))</f>
        <v>5</v>
      </c>
      <c r="AB6" s="92">
        <f>LEN($C6)-LEN(SUBSTITUTE($C6,"AT","X"))</f>
        <v>10</v>
      </c>
      <c r="AC6" s="92">
        <f>LEN($C6)-LEN(SUBSTITUTE($C6,"CA","X"))</f>
        <v>14</v>
      </c>
      <c r="AD6" s="92">
        <f>LEN($C6)-LEN( SUBSTITUTE(SUBSTITUTE($C6,"CC","X"),"XX","Y") )+LEN(SUBSTITUTE($C6,"CC","X"))-LEN( SUBSTITUTE(SUBSTITUTE($C6,"CC","X"),"XC","Y") )</f>
        <v>17</v>
      </c>
      <c r="AE6" s="92">
        <f>LEN($C6)-LEN(SUBSTITUTE($C6,"CG","X"))</f>
        <v>8</v>
      </c>
      <c r="AF6" s="92">
        <f>LEN($C6)-LEN(SUBSTITUTE($C6,"CT","X"))</f>
        <v>5</v>
      </c>
      <c r="AG6" s="92">
        <f>LEN($C6)-LEN(SUBSTITUTE($C6,"GA","X"))</f>
        <v>3</v>
      </c>
      <c r="AH6" s="92">
        <f>LEN($C6)-LEN(SUBSTITUTE($C6,"GC","X"))</f>
        <v>3</v>
      </c>
      <c r="AI6" s="92">
        <f>LEN($C6)-LEN( SUBSTITUTE(SUBSTITUTE($C6,"GG","X"),"XX","Y") )+LEN(SUBSTITUTE($C6,"GG","X"))-LEN( SUBSTITUTE(SUBSTITUTE($C6,"GG","X"),"XG","Y") )</f>
        <v>3</v>
      </c>
      <c r="AJ6" s="92">
        <f>LEN($C6)-LEN(SUBSTITUTE($C6,"GT","X"))</f>
        <v>10</v>
      </c>
      <c r="AK6" s="92">
        <f>LEN($C6)-LEN(SUBSTITUTE($C6,"TA","X"))</f>
        <v>8</v>
      </c>
      <c r="AL6" s="92">
        <f>LEN($C6)-LEN(SUBSTITUTE($C6,"TC","X"))</f>
        <v>14</v>
      </c>
      <c r="AM6" s="92">
        <f>LEN($C6)-LEN(SUBSTITUTE($C6,"TG","X"))</f>
        <v>4</v>
      </c>
      <c r="AN6" s="94">
        <f>LEN($C6)-LEN( SUBSTITUTE(SUBSTITUTE($C6,"TT","X"),"XX","Y") )+LEN(SUBSTITUTE($C6,"TT","X"))-LEN( SUBSTITUTE(SUBSTITUTE($C6,"TT","X"),"XT","Y") )</f>
        <v>9</v>
      </c>
      <c r="AO6" s="117">
        <f>LEN($D6)-LEN(SUBSTITUTE($D6,"A",""))-( LEN(LEFT($D6, 1))-LEN(SUBSTITUTE(LEFT($D6, 1),"A","")) ) - ( LEN(RIGHT($D6, 1))-LEN(SUBSTITUTE(RIGHT($D6, 1),"A","")) )</f>
        <v>31</v>
      </c>
      <c r="AP6" s="92">
        <f>LEN($D6)-LEN(SUBSTITUTE($D6,"C",""))-( LEN(LEFT($D6, 1))-LEN(SUBSTITUTE(LEFT($D6, 1),"C","")) ) - ( LEN(RIGHT($D6, 1))-LEN(SUBSTITUTE(RIGHT($D6, 1),"C","")) )</f>
        <v>44</v>
      </c>
      <c r="AQ6" s="92">
        <f>LEN($D6)-LEN(SUBSTITUTE($D6,"G",""))-( LEN(LEFT($D6, 1))-LEN(SUBSTITUTE(LEFT($D6, 1),"G","")) ) - ( LEN(RIGHT($D6, 1))-LEN(SUBSTITUTE(RIGHT($D6, 1),"G","")) )</f>
        <v>19</v>
      </c>
      <c r="AR6" s="92">
        <f>LEN($D6)-LEN(SUBSTITUTE($D6,"T",""))-( LEN(LEFT($D6, 1))-LEN(SUBSTITUTE(LEFT($D6, 1),"T","")) ) - ( LEN(RIGHT($D6, 1))-LEN(SUBSTITUTE(RIGHT($D6, 1),"T","")) )</f>
        <v>34</v>
      </c>
      <c r="AS6" s="92">
        <f>LEN($D6)-LEN( SUBSTITUTE(SUBSTITUTE($D6,"AA","X"),"XX","Y") )+LEN(SUBSTITUTE($D6,"AA","X"))-LEN( SUBSTITUTE(SUBSTITUTE($D6,"AA","X"),"XA","Y") )</f>
        <v>6</v>
      </c>
      <c r="AT6" s="92">
        <f>LEN($D6)-LEN(SUBSTITUTE($D6,"AC","X"))</f>
        <v>14</v>
      </c>
      <c r="AU6" s="92">
        <f>LEN($D6)-LEN(SUBSTITUTE($D6,"AG","X"))</f>
        <v>3</v>
      </c>
      <c r="AV6" s="92">
        <f>LEN($D6)-LEN(SUBSTITUTE($D6,"AT","X"))</f>
        <v>8</v>
      </c>
      <c r="AW6" s="92">
        <f>LEN($D6)-LEN(SUBSTITUTE($D6,"CA","X"))</f>
        <v>10</v>
      </c>
      <c r="AX6" s="92">
        <f>LEN($D6)-LEN( SUBSTITUTE(SUBSTITUTE($D6,"CC","X"),"XX","Y") )+LEN(SUBSTITUTE($D6,"CC","X"))-LEN( SUBSTITUTE(SUBSTITUTE($D6,"CC","X"),"XC","Y") )</f>
        <v>17</v>
      </c>
      <c r="AY6" s="92">
        <f>LEN($D6)-LEN(SUBSTITUTE($D6,"CG","X"))</f>
        <v>3</v>
      </c>
      <c r="AZ6" s="92">
        <f>LEN($D6)-LEN(SUBSTITUTE($D6,"CT","X"))</f>
        <v>14</v>
      </c>
      <c r="BA6" s="92">
        <f>LEN($D6)-LEN(SUBSTITUTE($D6,"GA","X"))</f>
        <v>5</v>
      </c>
      <c r="BB6" s="92">
        <f>LEN($D6)-LEN(SUBSTITUTE($D6,"GC","X"))</f>
        <v>8</v>
      </c>
      <c r="BC6" s="92">
        <f>LEN($D6)-LEN( SUBSTITUTE(SUBSTITUTE($D6,"GG","X"),"XX","Y") )+LEN(SUBSTITUTE($D6,"GG","X"))-LEN( SUBSTITUTE(SUBSTITUTE($D6,"GG","X"),"XG","Y") )</f>
        <v>3</v>
      </c>
      <c r="BD6" s="92">
        <f>LEN($D6)-LEN(SUBSTITUTE($D6,"GT","X"))</f>
        <v>4</v>
      </c>
      <c r="BE6" s="92">
        <f>LEN($D6)-LEN(SUBSTITUTE($D6,"TA","X"))</f>
        <v>10</v>
      </c>
      <c r="BF6" s="92">
        <f>LEN($D6)-LEN(SUBSTITUTE($D6,"TC","X"))</f>
        <v>5</v>
      </c>
      <c r="BG6" s="92">
        <f>LEN($D6)-LEN(SUBSTITUTE($D6,"TG","X"))</f>
        <v>10</v>
      </c>
      <c r="BH6" s="94">
        <f>LEN($D6)-LEN( SUBSTITUTE(SUBSTITUTE($D6,"TT","X"),"XX","Y") )+LEN(SUBSTITUTE($D6,"TT","X"))-LEN( SUBSTITUTE(SUBSTITUTE($D6,"TT","X"),"XT","Y") )</f>
        <v>9</v>
      </c>
      <c r="BJ6" s="68" t="s">
        <v>69</v>
      </c>
      <c r="BK6" s="69"/>
      <c r="BL6" s="70"/>
      <c r="BM6" s="70"/>
      <c r="BN6" s="71"/>
      <c r="BO6" s="69">
        <v>-9.1</v>
      </c>
      <c r="BP6" s="70">
        <f>BZ6</f>
        <v>-6.5</v>
      </c>
      <c r="BQ6" s="70">
        <f>BV6</f>
        <v>-7.8</v>
      </c>
      <c r="BR6" s="70">
        <v>-8.6</v>
      </c>
      <c r="BS6" s="70">
        <v>-5.8</v>
      </c>
      <c r="BT6" s="70">
        <f>BY6</f>
        <v>-11</v>
      </c>
      <c r="BU6" s="70">
        <v>-11.9</v>
      </c>
      <c r="BV6" s="70">
        <v>-7.8</v>
      </c>
      <c r="BW6" s="70">
        <v>-5.6</v>
      </c>
      <c r="BX6" s="70">
        <v>-11.1</v>
      </c>
      <c r="BY6" s="70">
        <v>-11</v>
      </c>
      <c r="BZ6" s="70">
        <v>-6.5</v>
      </c>
      <c r="CA6" s="70">
        <v>-6</v>
      </c>
      <c r="CB6" s="70">
        <f>BW6</f>
        <v>-5.6</v>
      </c>
      <c r="CC6" s="70">
        <f>BS6</f>
        <v>-5.8</v>
      </c>
      <c r="CD6" s="71">
        <f>BO6</f>
        <v>-9.1</v>
      </c>
    </row>
    <row r="7" spans="2:82" ht="14.5" customHeight="1" thickBot="1">
      <c r="B7" s="130"/>
      <c r="C7" s="96"/>
      <c r="D7" s="97" t="str" cm="1">
        <f t="array" ref="D7">IFERROR(_xlfn.TEXTJOIN("", TRUE, MID(C7, _xlfn.SEQUENCE(LEN(C7), 1, LEN(C7), -1), 1)),"")</f>
        <v/>
      </c>
      <c r="E7" s="99"/>
      <c r="F7" s="95">
        <f>SUMPRODUCT($Y7:$AN7,Calc!$BO$5:$CD$5)-SUMPRODUCT(Calc!$U7:$X7,Calc!$BK$5:$BN$5)</f>
        <v>0</v>
      </c>
      <c r="G7" s="122" t="str">
        <f t="shared" ref="G7:G55" si="1">IFERROR($E7/$F7*POWER(10,6),"")</f>
        <v/>
      </c>
      <c r="H7" s="120" t="e">
        <f t="shared" ref="H7:H55" si="2">$G7*$I7/1000</f>
        <v>#VALUE!</v>
      </c>
      <c r="I7" s="100">
        <f>SUMPRODUCT($Q7:$T7,Calc!$BK$10:$BN$10)-62.03</f>
        <v>-62.03</v>
      </c>
      <c r="J7" s="95" t="e">
        <f>(1-(0.287*($Q7+$T7)+0.059*($R7+$S7))/(SUM($Q7:$T7)))*(SUMPRODUCT(Calc!$Y7:$AN7,Calc!$BO$5:$CD$5)-SUMPRODUCT($U7:$X7,Calc!$BK$5:$BN$5)+SUMPRODUCT($AS7:$BH7,Calc!$BO$5:$CD$5)-SUMPRODUCT(Calc!$AO7:$AR7,Calc!$BK$5:$BN$5))</f>
        <v>#DIV/0!</v>
      </c>
      <c r="K7" s="120" t="str">
        <f t="shared" ref="K7:K55" si="3">IFERROR(E7/J7*POWER(10,6),"")</f>
        <v/>
      </c>
      <c r="L7" s="120" t="e">
        <f t="shared" ref="L7:L55" si="4">K7*M7/1000</f>
        <v>#VALUE!</v>
      </c>
      <c r="M7" s="100">
        <f>SUMPRODUCT($Q7:$T7,Calc!$BK$11:$BN$11)-79.2*2+17.01*2</f>
        <v>-124.38</v>
      </c>
      <c r="N7" s="125">
        <f>1000*SUMPRODUCT($Y7:$AN7,Calc!$BO$6:$CD$6)/(-10.8+SUMPRODUCT($Y7:$AN7,Calc!$BO$7:$CD$7)+1.987*LN($O$3*POWER(10,-6)/4))-273.15+16.6*LOG10($N$3*POWER(10,-3))</f>
        <v>-294.74709792802207</v>
      </c>
      <c r="O7" s="127">
        <f t="shared" si="0"/>
        <v>0</v>
      </c>
      <c r="P7" s="134" t="e">
        <f t="shared" ref="P7:P55" si="5">(LEN($C7)-LEN(SUBSTITUTE(SUBSTITUTE($C7,"G",""),"C","")))/LEN($C7)*100</f>
        <v>#DIV/0!</v>
      </c>
      <c r="Q7" s="117">
        <f t="shared" ref="Q7:T55" si="6">LEN($C7)-LEN(SUBSTITUTE($C7,Q$5,""))</f>
        <v>0</v>
      </c>
      <c r="R7" s="92">
        <f t="shared" si="6"/>
        <v>0</v>
      </c>
      <c r="S7" s="92">
        <f t="shared" si="6"/>
        <v>0</v>
      </c>
      <c r="T7" s="92">
        <f t="shared" si="6"/>
        <v>0</v>
      </c>
      <c r="U7" s="92">
        <f t="shared" ref="U7:U55" si="7">LEN($C7)-LEN(SUBSTITUTE($C7,"A",""))-( LEN(LEFT($C7, 1))-LEN(SUBSTITUTE(LEFT($C7, 1),"A","")) ) - ( LEN(RIGHT($C7, 1))-LEN(SUBSTITUTE(RIGHT($C7, 1),"A","")) )</f>
        <v>0</v>
      </c>
      <c r="V7" s="92">
        <f t="shared" ref="V7:V55" si="8">LEN($C7)-LEN(SUBSTITUTE($C7,"C",""))-( LEN(LEFT($C7, 1))-LEN(SUBSTITUTE(LEFT($C7, 1),"C","")) ) - ( LEN(RIGHT($C7, 1))-LEN(SUBSTITUTE(RIGHT($C7, 1),"C","")) )</f>
        <v>0</v>
      </c>
      <c r="W7" s="92">
        <f t="shared" ref="W7:W55" si="9">LEN($C7)-LEN(SUBSTITUTE($C7,"G",""))-( LEN(LEFT($C7, 1))-LEN(SUBSTITUTE(LEFT($C7, 1),"G","")) ) - ( LEN(RIGHT($C7, 1))-LEN(SUBSTITUTE(RIGHT($C7, 1),"G","")) )</f>
        <v>0</v>
      </c>
      <c r="X7" s="92">
        <f t="shared" ref="X7:X55" si="10">LEN($C7)-LEN(SUBSTITUTE($C7,"T",""))-( LEN(LEFT($C7, 1))-LEN(SUBSTITUTE(LEFT($C7, 1),"T","")) ) - ( LEN(RIGHT($C7, 1))-LEN(SUBSTITUTE(RIGHT($C7, 1),"T","")) )</f>
        <v>0</v>
      </c>
      <c r="Y7" s="98">
        <f t="shared" ref="Y7:Y55" si="11">LEN($C7)-LEN( SUBSTITUTE(SUBSTITUTE($C7,"AA","X"),"XX","Y") )+LEN(SUBSTITUTE($C7,"AA","X"))-LEN( SUBSTITUTE(SUBSTITUTE($C7,"AA","X"),"XA","Y") )</f>
        <v>0</v>
      </c>
      <c r="Z7" s="98">
        <f t="shared" ref="Z7:Z55" si="12">LEN($C7)-LEN(SUBSTITUTE($C7,"AC","X"))</f>
        <v>0</v>
      </c>
      <c r="AA7" s="98">
        <f t="shared" ref="AA7:AA55" si="13">LEN($C7)-LEN(SUBSTITUTE($C7,"AG","X"))</f>
        <v>0</v>
      </c>
      <c r="AB7" s="98">
        <f t="shared" ref="AB7:AB55" si="14">LEN($C7)-LEN(SUBSTITUTE($C7,"AT","X"))</f>
        <v>0</v>
      </c>
      <c r="AC7" s="98">
        <f t="shared" ref="AC7:AC55" si="15">LEN($C7)-LEN(SUBSTITUTE($C7,"CA","X"))</f>
        <v>0</v>
      </c>
      <c r="AD7" s="98">
        <f t="shared" ref="AD7:AD55" si="16">LEN($C7)-LEN( SUBSTITUTE(SUBSTITUTE($C7,"CC","X"),"XX","Y") )+LEN(SUBSTITUTE($C7,"CC","X"))-LEN( SUBSTITUTE(SUBSTITUTE($C7,"CC","X"),"XC","Y") )</f>
        <v>0</v>
      </c>
      <c r="AE7" s="98">
        <f t="shared" ref="AE7:AE55" si="17">LEN($C7)-LEN(SUBSTITUTE($C7,"CG","X"))</f>
        <v>0</v>
      </c>
      <c r="AF7" s="98">
        <f t="shared" ref="AF7:AF55" si="18">LEN($C7)-LEN(SUBSTITUTE($C7,"CT","X"))</f>
        <v>0</v>
      </c>
      <c r="AG7" s="98">
        <f t="shared" ref="AG7:AG55" si="19">LEN($C7)-LEN(SUBSTITUTE($C7,"GA","X"))</f>
        <v>0</v>
      </c>
      <c r="AH7" s="98">
        <f t="shared" ref="AH7:AH55" si="20">LEN($C7)-LEN(SUBSTITUTE($C7,"GC","X"))</f>
        <v>0</v>
      </c>
      <c r="AI7" s="98">
        <f t="shared" ref="AI7:AI55" si="21">LEN($C7)-LEN( SUBSTITUTE(SUBSTITUTE($C7,"GG","X"),"XX","Y") )+LEN(SUBSTITUTE($C7,"GG","X"))-LEN( SUBSTITUTE(SUBSTITUTE($C7,"GG","X"),"XG","Y") )</f>
        <v>0</v>
      </c>
      <c r="AJ7" s="98">
        <f t="shared" ref="AJ7:AJ55" si="22">LEN($C7)-LEN(SUBSTITUTE($C7,"GT","X"))</f>
        <v>0</v>
      </c>
      <c r="AK7" s="98">
        <f t="shared" ref="AK7:AK55" si="23">LEN($C7)-LEN(SUBSTITUTE($C7,"TA","X"))</f>
        <v>0</v>
      </c>
      <c r="AL7" s="98">
        <f t="shared" ref="AL7:AL55" si="24">LEN($C7)-LEN(SUBSTITUTE($C7,"TC","X"))</f>
        <v>0</v>
      </c>
      <c r="AM7" s="98">
        <f t="shared" ref="AM7:AM55" si="25">LEN($C7)-LEN(SUBSTITUTE($C7,"TG","X"))</f>
        <v>0</v>
      </c>
      <c r="AN7" s="100">
        <f t="shared" ref="AN7:AN55" si="26">LEN($C7)-LEN( SUBSTITUTE(SUBSTITUTE($C7,"TT","X"),"XX","Y") )+LEN(SUBSTITUTE($C7,"TT","X"))-LEN( SUBSTITUTE(SUBSTITUTE($C7,"TT","X"),"XT","Y") )</f>
        <v>0</v>
      </c>
      <c r="AO7" s="117">
        <f t="shared" ref="AO7:AO55" si="27">LEN($D7)-LEN(SUBSTITUTE($D7,"A",""))-( LEN(LEFT($D7, 1))-LEN(SUBSTITUTE(LEFT($D7, 1),"A","")) ) - ( LEN(RIGHT($D7, 1))-LEN(SUBSTITUTE(RIGHT($D7, 1),"A","")) )</f>
        <v>0</v>
      </c>
      <c r="AP7" s="92">
        <f t="shared" ref="AP7:AP55" si="28">LEN($D7)-LEN(SUBSTITUTE($D7,"C",""))-( LEN(LEFT($D7, 1))-LEN(SUBSTITUTE(LEFT($D7, 1),"C","")) ) - ( LEN(RIGHT($D7, 1))-LEN(SUBSTITUTE(RIGHT($D7, 1),"C","")) )</f>
        <v>0</v>
      </c>
      <c r="AQ7" s="92">
        <f t="shared" ref="AQ7:AQ55" si="29">LEN($D7)-LEN(SUBSTITUTE($D7,"G",""))-( LEN(LEFT($D7, 1))-LEN(SUBSTITUTE(LEFT($D7, 1),"G","")) ) - ( LEN(RIGHT($D7, 1))-LEN(SUBSTITUTE(RIGHT($D7, 1),"G","")) )</f>
        <v>0</v>
      </c>
      <c r="AR7" s="92">
        <f t="shared" ref="AR7:AR55" si="30">LEN($D7)-LEN(SUBSTITUTE($D7,"T",""))-( LEN(LEFT($D7, 1))-LEN(SUBSTITUTE(LEFT($D7, 1),"T","")) ) - ( LEN(RIGHT($D7, 1))-LEN(SUBSTITUTE(RIGHT($D7, 1),"T","")) )</f>
        <v>0</v>
      </c>
      <c r="AS7" s="98">
        <f t="shared" ref="AS7:AS55" si="31">LEN($D7)-LEN( SUBSTITUTE(SUBSTITUTE($D7,"AA","X"),"XX","Y") )+LEN(SUBSTITUTE($D7,"AA","X"))-LEN( SUBSTITUTE(SUBSTITUTE($D7,"AA","X"),"XA","Y") )</f>
        <v>0</v>
      </c>
      <c r="AT7" s="98">
        <f t="shared" ref="AT7:AT55" si="32">LEN($D7)-LEN(SUBSTITUTE($D7,"AC","X"))</f>
        <v>0</v>
      </c>
      <c r="AU7" s="98">
        <f t="shared" ref="AU7:AU55" si="33">LEN($D7)-LEN(SUBSTITUTE($D7,"AG","X"))</f>
        <v>0</v>
      </c>
      <c r="AV7" s="98">
        <f t="shared" ref="AV7:AV55" si="34">LEN($D7)-LEN(SUBSTITUTE($D7,"AT","X"))</f>
        <v>0</v>
      </c>
      <c r="AW7" s="98">
        <f t="shared" ref="AW7:AW55" si="35">LEN($D7)-LEN(SUBSTITUTE($D7,"CA","X"))</f>
        <v>0</v>
      </c>
      <c r="AX7" s="98">
        <f t="shared" ref="AX7:AX55" si="36">LEN($D7)-LEN( SUBSTITUTE(SUBSTITUTE($D7,"CC","X"),"XX","Y") )+LEN(SUBSTITUTE($D7,"CC","X"))-LEN( SUBSTITUTE(SUBSTITUTE($D7,"CC","X"),"XC","Y") )</f>
        <v>0</v>
      </c>
      <c r="AY7" s="98">
        <f t="shared" ref="AY7:AY55" si="37">LEN($D7)-LEN(SUBSTITUTE($D7,"CG","X"))</f>
        <v>0</v>
      </c>
      <c r="AZ7" s="98">
        <f t="shared" ref="AZ7:AZ55" si="38">LEN($D7)-LEN(SUBSTITUTE($D7,"CT","X"))</f>
        <v>0</v>
      </c>
      <c r="BA7" s="98">
        <f t="shared" ref="BA7:BA55" si="39">LEN($D7)-LEN(SUBSTITUTE($D7,"GA","X"))</f>
        <v>0</v>
      </c>
      <c r="BB7" s="98">
        <f t="shared" ref="BB7:BB55" si="40">LEN($D7)-LEN(SUBSTITUTE($D7,"GC","X"))</f>
        <v>0</v>
      </c>
      <c r="BC7" s="98">
        <f t="shared" ref="BC7:BC55" si="41">LEN($D7)-LEN( SUBSTITUTE(SUBSTITUTE($D7,"GG","X"),"XX","Y") )+LEN(SUBSTITUTE($D7,"GG","X"))-LEN( SUBSTITUTE(SUBSTITUTE($D7,"GG","X"),"XG","Y") )</f>
        <v>0</v>
      </c>
      <c r="BD7" s="98">
        <f t="shared" ref="BD7:BD55" si="42">LEN($D7)-LEN(SUBSTITUTE($D7,"GT","X"))</f>
        <v>0</v>
      </c>
      <c r="BE7" s="98">
        <f t="shared" ref="BE7:BE55" si="43">LEN($D7)-LEN(SUBSTITUTE($D7,"TA","X"))</f>
        <v>0</v>
      </c>
      <c r="BF7" s="98">
        <f t="shared" ref="BF7:BF55" si="44">LEN($D7)-LEN(SUBSTITUTE($D7,"TC","X"))</f>
        <v>0</v>
      </c>
      <c r="BG7" s="98">
        <f t="shared" ref="BG7:BG55" si="45">LEN($D7)-LEN(SUBSTITUTE($D7,"TG","X"))</f>
        <v>0</v>
      </c>
      <c r="BH7" s="100">
        <f t="shared" ref="BH7:BH55" si="46">LEN($D7)-LEN( SUBSTITUTE(SUBSTITUTE($D7,"TT","X"),"XX","Y") )+LEN(SUBSTITUTE($D7,"TT","X"))-LEN( SUBSTITUTE(SUBSTITUTE($D7,"TT","X"),"XT","Y") )</f>
        <v>0</v>
      </c>
      <c r="BJ7" s="72" t="s">
        <v>70</v>
      </c>
      <c r="BK7" s="73"/>
      <c r="BL7" s="74"/>
      <c r="BM7" s="74"/>
      <c r="BN7" s="75"/>
      <c r="BO7" s="73">
        <v>-24</v>
      </c>
      <c r="BP7" s="74">
        <f>BZ7</f>
        <v>-17.3</v>
      </c>
      <c r="BQ7" s="74">
        <f>BV7</f>
        <v>-20.8</v>
      </c>
      <c r="BR7" s="74">
        <v>-23.9</v>
      </c>
      <c r="BS7" s="74">
        <v>-12.9</v>
      </c>
      <c r="BT7" s="74">
        <f>BY7</f>
        <v>-26.6</v>
      </c>
      <c r="BU7" s="74">
        <v>-27.8</v>
      </c>
      <c r="BV7" s="74">
        <v>-20.8</v>
      </c>
      <c r="BW7" s="74">
        <v>-13.5</v>
      </c>
      <c r="BX7" s="74">
        <v>-26.7</v>
      </c>
      <c r="BY7" s="74">
        <v>-26.6</v>
      </c>
      <c r="BZ7" s="74">
        <v>-17.3</v>
      </c>
      <c r="CA7" s="74">
        <v>-16.899999999999999</v>
      </c>
      <c r="CB7" s="74">
        <f>BW7</f>
        <v>-13.5</v>
      </c>
      <c r="CC7" s="74">
        <f>BS7</f>
        <v>-12.9</v>
      </c>
      <c r="CD7" s="75">
        <f>BO7</f>
        <v>-24</v>
      </c>
    </row>
    <row r="8" spans="2:82" ht="14.5" customHeight="1" thickBot="1">
      <c r="B8" s="130"/>
      <c r="C8" s="96"/>
      <c r="D8" s="97" t="str" cm="1">
        <f t="array" ref="D8">IFERROR(_xlfn.TEXTJOIN("", TRUE, MID(C8, _xlfn.SEQUENCE(LEN(C8), 1, LEN(C8), -1), 1)),"")</f>
        <v/>
      </c>
      <c r="E8" s="99"/>
      <c r="F8" s="95">
        <f>SUMPRODUCT($Y8:$AN8,Calc!$BO$5:$CD$5)-SUMPRODUCT(Calc!$U8:$X8,Calc!$BK$5:$BN$5)</f>
        <v>0</v>
      </c>
      <c r="G8" s="122" t="str">
        <f t="shared" si="1"/>
        <v/>
      </c>
      <c r="H8" s="120" t="e">
        <f t="shared" si="2"/>
        <v>#VALUE!</v>
      </c>
      <c r="I8" s="100">
        <f>SUMPRODUCT($Q8:$T8,Calc!$BK$10:$BN$10)-62.03</f>
        <v>-62.03</v>
      </c>
      <c r="J8" s="95" t="e">
        <f>(1-(0.287*($Q8+$T8)+0.059*($R8+$S8))/(SUM($Q8:$T8)))*(SUMPRODUCT(Calc!$Y8:$AN8,Calc!$BO$5:$CD$5)-SUMPRODUCT($U8:$X8,Calc!$BK$5:$BN$5)+SUMPRODUCT($AS8:$BH8,Calc!$BO$5:$CD$5)-SUMPRODUCT(Calc!$AO8:$AR8,Calc!$BK$5:$BN$5))</f>
        <v>#DIV/0!</v>
      </c>
      <c r="K8" s="120" t="str">
        <f t="shared" si="3"/>
        <v/>
      </c>
      <c r="L8" s="120" t="e">
        <f t="shared" si="4"/>
        <v>#VALUE!</v>
      </c>
      <c r="M8" s="100">
        <f>SUMPRODUCT($Q8:$T8,Calc!$BK$11:$BN$11)-79.2*2+17.01*2</f>
        <v>-124.38</v>
      </c>
      <c r="N8" s="125">
        <f>1000*SUMPRODUCT($Y8:$AN8,Calc!$BO$6:$CD$6)/(-10.8+SUMPRODUCT($Y8:$AN8,Calc!$BO$7:$CD$7)+1.987*LN($O$3*POWER(10,-6)/4))-273.15+16.6*LOG10($N$3*POWER(10,-3))</f>
        <v>-294.74709792802207</v>
      </c>
      <c r="O8" s="127">
        <f t="shared" si="0"/>
        <v>0</v>
      </c>
      <c r="P8" s="135" t="e">
        <f t="shared" si="5"/>
        <v>#DIV/0!</v>
      </c>
      <c r="Q8" s="118">
        <f t="shared" si="6"/>
        <v>0</v>
      </c>
      <c r="R8" s="98">
        <f t="shared" si="6"/>
        <v>0</v>
      </c>
      <c r="S8" s="98">
        <f t="shared" si="6"/>
        <v>0</v>
      </c>
      <c r="T8" s="98">
        <f t="shared" si="6"/>
        <v>0</v>
      </c>
      <c r="U8" s="98">
        <f t="shared" si="7"/>
        <v>0</v>
      </c>
      <c r="V8" s="98">
        <f t="shared" si="8"/>
        <v>0</v>
      </c>
      <c r="W8" s="98">
        <f t="shared" si="9"/>
        <v>0</v>
      </c>
      <c r="X8" s="98">
        <f t="shared" si="10"/>
        <v>0</v>
      </c>
      <c r="Y8" s="98">
        <f t="shared" si="11"/>
        <v>0</v>
      </c>
      <c r="Z8" s="98">
        <f t="shared" si="12"/>
        <v>0</v>
      </c>
      <c r="AA8" s="98">
        <f t="shared" si="13"/>
        <v>0</v>
      </c>
      <c r="AB8" s="98">
        <f t="shared" si="14"/>
        <v>0</v>
      </c>
      <c r="AC8" s="98">
        <f t="shared" si="15"/>
        <v>0</v>
      </c>
      <c r="AD8" s="98">
        <f t="shared" si="16"/>
        <v>0</v>
      </c>
      <c r="AE8" s="98">
        <f t="shared" si="17"/>
        <v>0</v>
      </c>
      <c r="AF8" s="98">
        <f t="shared" si="18"/>
        <v>0</v>
      </c>
      <c r="AG8" s="98">
        <f t="shared" si="19"/>
        <v>0</v>
      </c>
      <c r="AH8" s="98">
        <f t="shared" si="20"/>
        <v>0</v>
      </c>
      <c r="AI8" s="98">
        <f t="shared" si="21"/>
        <v>0</v>
      </c>
      <c r="AJ8" s="98">
        <f t="shared" si="22"/>
        <v>0</v>
      </c>
      <c r="AK8" s="98">
        <f t="shared" si="23"/>
        <v>0</v>
      </c>
      <c r="AL8" s="98">
        <f t="shared" si="24"/>
        <v>0</v>
      </c>
      <c r="AM8" s="98">
        <f t="shared" si="25"/>
        <v>0</v>
      </c>
      <c r="AN8" s="100">
        <f t="shared" si="26"/>
        <v>0</v>
      </c>
      <c r="AO8" s="118">
        <f t="shared" si="27"/>
        <v>0</v>
      </c>
      <c r="AP8" s="98">
        <f t="shared" si="28"/>
        <v>0</v>
      </c>
      <c r="AQ8" s="98">
        <f t="shared" si="29"/>
        <v>0</v>
      </c>
      <c r="AR8" s="98">
        <f t="shared" si="30"/>
        <v>0</v>
      </c>
      <c r="AS8" s="98">
        <f t="shared" si="31"/>
        <v>0</v>
      </c>
      <c r="AT8" s="98">
        <f t="shared" si="32"/>
        <v>0</v>
      </c>
      <c r="AU8" s="98">
        <f t="shared" si="33"/>
        <v>0</v>
      </c>
      <c r="AV8" s="98">
        <f t="shared" si="34"/>
        <v>0</v>
      </c>
      <c r="AW8" s="98">
        <f t="shared" si="35"/>
        <v>0</v>
      </c>
      <c r="AX8" s="98">
        <f t="shared" si="36"/>
        <v>0</v>
      </c>
      <c r="AY8" s="98">
        <f t="shared" si="37"/>
        <v>0</v>
      </c>
      <c r="AZ8" s="98">
        <f t="shared" si="38"/>
        <v>0</v>
      </c>
      <c r="BA8" s="98">
        <f t="shared" si="39"/>
        <v>0</v>
      </c>
      <c r="BB8" s="98">
        <f t="shared" si="40"/>
        <v>0</v>
      </c>
      <c r="BC8" s="98">
        <f t="shared" si="41"/>
        <v>0</v>
      </c>
      <c r="BD8" s="98">
        <f t="shared" si="42"/>
        <v>0</v>
      </c>
      <c r="BE8" s="98">
        <f t="shared" si="43"/>
        <v>0</v>
      </c>
      <c r="BF8" s="98">
        <f t="shared" si="44"/>
        <v>0</v>
      </c>
      <c r="BG8" s="98">
        <f t="shared" si="45"/>
        <v>0</v>
      </c>
      <c r="BH8" s="100">
        <f t="shared" si="46"/>
        <v>0</v>
      </c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</row>
    <row r="9" spans="2:82" ht="14.5" customHeight="1" thickBot="1">
      <c r="B9" s="130"/>
      <c r="C9" s="96"/>
      <c r="D9" s="97" t="str" cm="1">
        <f t="array" ref="D9">IFERROR(_xlfn.TEXTJOIN("", TRUE, MID(C9, _xlfn.SEQUENCE(LEN(C9), 1, LEN(C9), -1), 1)),"")</f>
        <v/>
      </c>
      <c r="E9" s="99"/>
      <c r="F9" s="95">
        <f>SUMPRODUCT($Y9:$AN9,Calc!$BO$5:$CD$5)-SUMPRODUCT(Calc!$U9:$X9,Calc!$BK$5:$BN$5)</f>
        <v>0</v>
      </c>
      <c r="G9" s="122" t="str">
        <f t="shared" si="1"/>
        <v/>
      </c>
      <c r="H9" s="120" t="e">
        <f t="shared" si="2"/>
        <v>#VALUE!</v>
      </c>
      <c r="I9" s="100">
        <f>SUMPRODUCT($Q9:$T9,Calc!$BK$10:$BN$10)-62.03</f>
        <v>-62.03</v>
      </c>
      <c r="J9" s="95" t="e">
        <f>(1-(0.287*($Q9+$T9)+0.059*($R9+$S9))/(SUM($Q9:$T9)))*(SUMPRODUCT(Calc!$Y9:$AN9,Calc!$BO$5:$CD$5)-SUMPRODUCT($U9:$X9,Calc!$BK$5:$BN$5)+SUMPRODUCT($AS9:$BH9,Calc!$BO$5:$CD$5)-SUMPRODUCT(Calc!$AO9:$AR9,Calc!$BK$5:$BN$5))</f>
        <v>#DIV/0!</v>
      </c>
      <c r="K9" s="120" t="str">
        <f t="shared" si="3"/>
        <v/>
      </c>
      <c r="L9" s="120" t="e">
        <f t="shared" si="4"/>
        <v>#VALUE!</v>
      </c>
      <c r="M9" s="100">
        <f>SUMPRODUCT($Q9:$T9,Calc!$BK$11:$BN$11)-79.2*2+17.01*2</f>
        <v>-124.38</v>
      </c>
      <c r="N9" s="125">
        <f>1000*SUMPRODUCT($Y9:$AN9,Calc!$BO$6:$CD$6)/(-10.8+SUMPRODUCT($Y9:$AN9,Calc!$BO$7:$CD$7)+1.987*LN($O$3*POWER(10,-6)/4))-273.15+16.6*LOG10($N$3*POWER(10,-3))</f>
        <v>-294.74709792802207</v>
      </c>
      <c r="O9" s="127">
        <f t="shared" si="0"/>
        <v>0</v>
      </c>
      <c r="P9" s="135" t="e">
        <f t="shared" si="5"/>
        <v>#DIV/0!</v>
      </c>
      <c r="Q9" s="118">
        <f t="shared" si="6"/>
        <v>0</v>
      </c>
      <c r="R9" s="98">
        <f t="shared" si="6"/>
        <v>0</v>
      </c>
      <c r="S9" s="98">
        <f t="shared" si="6"/>
        <v>0</v>
      </c>
      <c r="T9" s="98">
        <f t="shared" si="6"/>
        <v>0</v>
      </c>
      <c r="U9" s="98">
        <f t="shared" si="7"/>
        <v>0</v>
      </c>
      <c r="V9" s="98">
        <f t="shared" si="8"/>
        <v>0</v>
      </c>
      <c r="W9" s="98">
        <f t="shared" si="9"/>
        <v>0</v>
      </c>
      <c r="X9" s="98">
        <f t="shared" si="10"/>
        <v>0</v>
      </c>
      <c r="Y9" s="98">
        <f t="shared" si="11"/>
        <v>0</v>
      </c>
      <c r="Z9" s="98">
        <f t="shared" si="12"/>
        <v>0</v>
      </c>
      <c r="AA9" s="98">
        <f t="shared" si="13"/>
        <v>0</v>
      </c>
      <c r="AB9" s="98">
        <f t="shared" si="14"/>
        <v>0</v>
      </c>
      <c r="AC9" s="98">
        <f t="shared" si="15"/>
        <v>0</v>
      </c>
      <c r="AD9" s="98">
        <f t="shared" si="16"/>
        <v>0</v>
      </c>
      <c r="AE9" s="98">
        <f t="shared" si="17"/>
        <v>0</v>
      </c>
      <c r="AF9" s="98">
        <f t="shared" si="18"/>
        <v>0</v>
      </c>
      <c r="AG9" s="98">
        <f t="shared" si="19"/>
        <v>0</v>
      </c>
      <c r="AH9" s="98">
        <f t="shared" si="20"/>
        <v>0</v>
      </c>
      <c r="AI9" s="98">
        <f t="shared" si="21"/>
        <v>0</v>
      </c>
      <c r="AJ9" s="98">
        <f t="shared" si="22"/>
        <v>0</v>
      </c>
      <c r="AK9" s="98">
        <f t="shared" si="23"/>
        <v>0</v>
      </c>
      <c r="AL9" s="98">
        <f t="shared" si="24"/>
        <v>0</v>
      </c>
      <c r="AM9" s="98">
        <f t="shared" si="25"/>
        <v>0</v>
      </c>
      <c r="AN9" s="100">
        <f t="shared" si="26"/>
        <v>0</v>
      </c>
      <c r="AO9" s="118">
        <f t="shared" si="27"/>
        <v>0</v>
      </c>
      <c r="AP9" s="98">
        <f t="shared" si="28"/>
        <v>0</v>
      </c>
      <c r="AQ9" s="98">
        <f t="shared" si="29"/>
        <v>0</v>
      </c>
      <c r="AR9" s="98">
        <f t="shared" si="30"/>
        <v>0</v>
      </c>
      <c r="AS9" s="98">
        <f t="shared" si="31"/>
        <v>0</v>
      </c>
      <c r="AT9" s="98">
        <f t="shared" si="32"/>
        <v>0</v>
      </c>
      <c r="AU9" s="98">
        <f t="shared" si="33"/>
        <v>0</v>
      </c>
      <c r="AV9" s="98">
        <f t="shared" si="34"/>
        <v>0</v>
      </c>
      <c r="AW9" s="98">
        <f t="shared" si="35"/>
        <v>0</v>
      </c>
      <c r="AX9" s="98">
        <f t="shared" si="36"/>
        <v>0</v>
      </c>
      <c r="AY9" s="98">
        <f t="shared" si="37"/>
        <v>0</v>
      </c>
      <c r="AZ9" s="98">
        <f t="shared" si="38"/>
        <v>0</v>
      </c>
      <c r="BA9" s="98">
        <f t="shared" si="39"/>
        <v>0</v>
      </c>
      <c r="BB9" s="98">
        <f t="shared" si="40"/>
        <v>0</v>
      </c>
      <c r="BC9" s="98">
        <f t="shared" si="41"/>
        <v>0</v>
      </c>
      <c r="BD9" s="98">
        <f t="shared" si="42"/>
        <v>0</v>
      </c>
      <c r="BE9" s="98">
        <f t="shared" si="43"/>
        <v>0</v>
      </c>
      <c r="BF9" s="98">
        <f t="shared" si="44"/>
        <v>0</v>
      </c>
      <c r="BG9" s="98">
        <f t="shared" si="45"/>
        <v>0</v>
      </c>
      <c r="BH9" s="100">
        <f t="shared" si="46"/>
        <v>0</v>
      </c>
      <c r="BJ9" s="110"/>
      <c r="BK9" s="61" t="s">
        <v>11</v>
      </c>
      <c r="BL9" s="62" t="s">
        <v>13</v>
      </c>
      <c r="BM9" s="62" t="s">
        <v>14</v>
      </c>
      <c r="BN9" s="63" t="s">
        <v>12</v>
      </c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</row>
    <row r="10" spans="2:82" ht="14.5" customHeight="1" thickBot="1">
      <c r="B10" s="130"/>
      <c r="C10" s="96"/>
      <c r="D10" s="97" t="str" cm="1">
        <f t="array" ref="D10">IFERROR(_xlfn.TEXTJOIN("", TRUE, MID(C10, _xlfn.SEQUENCE(LEN(C10), 1, LEN(C10), -1), 1)),"")</f>
        <v/>
      </c>
      <c r="E10" s="99"/>
      <c r="F10" s="95">
        <f>SUMPRODUCT($Y10:$AN10,Calc!$BO$5:$CD$5)-SUMPRODUCT(Calc!$U10:$X10,Calc!$BK$5:$BN$5)</f>
        <v>0</v>
      </c>
      <c r="G10" s="122" t="str">
        <f t="shared" si="1"/>
        <v/>
      </c>
      <c r="H10" s="120" t="e">
        <f t="shared" si="2"/>
        <v>#VALUE!</v>
      </c>
      <c r="I10" s="100">
        <f>SUMPRODUCT($Q10:$T10,Calc!$BK$10:$BN$10)-62.03</f>
        <v>-62.03</v>
      </c>
      <c r="J10" s="95" t="e">
        <f>(1-(0.287*($Q10+$T10)+0.059*($R10+$S10))/(SUM($Q10:$T10)))*(SUMPRODUCT(Calc!$Y10:$AN10,Calc!$BO$5:$CD$5)-SUMPRODUCT($U10:$X10,Calc!$BK$5:$BN$5)+SUMPRODUCT($AS10:$BH10,Calc!$BO$5:$CD$5)-SUMPRODUCT(Calc!$AO10:$AR10,Calc!$BK$5:$BN$5))</f>
        <v>#DIV/0!</v>
      </c>
      <c r="K10" s="120" t="str">
        <f t="shared" si="3"/>
        <v/>
      </c>
      <c r="L10" s="120" t="e">
        <f t="shared" si="4"/>
        <v>#VALUE!</v>
      </c>
      <c r="M10" s="100">
        <f>SUMPRODUCT($Q10:$T10,Calc!$BK$11:$BN$11)-79.2*2+17.01*2</f>
        <v>-124.38</v>
      </c>
      <c r="N10" s="125">
        <f>1000*SUMPRODUCT($Y10:$AN10,Calc!$BO$6:$CD$6)/(-10.8+SUMPRODUCT($Y10:$AN10,Calc!$BO$7:$CD$7)+1.987*LN($O$3*POWER(10,-6)/4))-273.15+16.6*LOG10($N$3*POWER(10,-3))</f>
        <v>-294.74709792802207</v>
      </c>
      <c r="O10" s="127">
        <f t="shared" si="0"/>
        <v>0</v>
      </c>
      <c r="P10" s="135" t="e">
        <f t="shared" si="5"/>
        <v>#DIV/0!</v>
      </c>
      <c r="Q10" s="118">
        <f t="shared" si="6"/>
        <v>0</v>
      </c>
      <c r="R10" s="98">
        <f t="shared" si="6"/>
        <v>0</v>
      </c>
      <c r="S10" s="98">
        <f t="shared" si="6"/>
        <v>0</v>
      </c>
      <c r="T10" s="98">
        <f t="shared" si="6"/>
        <v>0</v>
      </c>
      <c r="U10" s="98">
        <f t="shared" si="7"/>
        <v>0</v>
      </c>
      <c r="V10" s="98">
        <f t="shared" si="8"/>
        <v>0</v>
      </c>
      <c r="W10" s="98">
        <f t="shared" si="9"/>
        <v>0</v>
      </c>
      <c r="X10" s="98">
        <f t="shared" si="10"/>
        <v>0</v>
      </c>
      <c r="Y10" s="98">
        <f t="shared" si="11"/>
        <v>0</v>
      </c>
      <c r="Z10" s="98">
        <f t="shared" si="12"/>
        <v>0</v>
      </c>
      <c r="AA10" s="98">
        <f t="shared" si="13"/>
        <v>0</v>
      </c>
      <c r="AB10" s="98">
        <f t="shared" si="14"/>
        <v>0</v>
      </c>
      <c r="AC10" s="98">
        <f t="shared" si="15"/>
        <v>0</v>
      </c>
      <c r="AD10" s="98">
        <f t="shared" si="16"/>
        <v>0</v>
      </c>
      <c r="AE10" s="98">
        <f t="shared" si="17"/>
        <v>0</v>
      </c>
      <c r="AF10" s="98">
        <f t="shared" si="18"/>
        <v>0</v>
      </c>
      <c r="AG10" s="98">
        <f t="shared" si="19"/>
        <v>0</v>
      </c>
      <c r="AH10" s="98">
        <f t="shared" si="20"/>
        <v>0</v>
      </c>
      <c r="AI10" s="98">
        <f t="shared" si="21"/>
        <v>0</v>
      </c>
      <c r="AJ10" s="98">
        <f t="shared" si="22"/>
        <v>0</v>
      </c>
      <c r="AK10" s="98">
        <f t="shared" si="23"/>
        <v>0</v>
      </c>
      <c r="AL10" s="98">
        <f t="shared" si="24"/>
        <v>0</v>
      </c>
      <c r="AM10" s="98">
        <f t="shared" si="25"/>
        <v>0</v>
      </c>
      <c r="AN10" s="100">
        <f t="shared" si="26"/>
        <v>0</v>
      </c>
      <c r="AO10" s="118">
        <f t="shared" si="27"/>
        <v>0</v>
      </c>
      <c r="AP10" s="98">
        <f t="shared" si="28"/>
        <v>0</v>
      </c>
      <c r="AQ10" s="98">
        <f t="shared" si="29"/>
        <v>0</v>
      </c>
      <c r="AR10" s="98">
        <f t="shared" si="30"/>
        <v>0</v>
      </c>
      <c r="AS10" s="98">
        <f t="shared" si="31"/>
        <v>0</v>
      </c>
      <c r="AT10" s="98">
        <f t="shared" si="32"/>
        <v>0</v>
      </c>
      <c r="AU10" s="98">
        <f t="shared" si="33"/>
        <v>0</v>
      </c>
      <c r="AV10" s="98">
        <f t="shared" si="34"/>
        <v>0</v>
      </c>
      <c r="AW10" s="98">
        <f t="shared" si="35"/>
        <v>0</v>
      </c>
      <c r="AX10" s="98">
        <f t="shared" si="36"/>
        <v>0</v>
      </c>
      <c r="AY10" s="98">
        <f t="shared" si="37"/>
        <v>0</v>
      </c>
      <c r="AZ10" s="98">
        <f t="shared" si="38"/>
        <v>0</v>
      </c>
      <c r="BA10" s="98">
        <f t="shared" si="39"/>
        <v>0</v>
      </c>
      <c r="BB10" s="98">
        <f t="shared" si="40"/>
        <v>0</v>
      </c>
      <c r="BC10" s="98">
        <f t="shared" si="41"/>
        <v>0</v>
      </c>
      <c r="BD10" s="98">
        <f t="shared" si="42"/>
        <v>0</v>
      </c>
      <c r="BE10" s="98">
        <f t="shared" si="43"/>
        <v>0</v>
      </c>
      <c r="BF10" s="98">
        <f t="shared" si="44"/>
        <v>0</v>
      </c>
      <c r="BG10" s="98">
        <f t="shared" si="45"/>
        <v>0</v>
      </c>
      <c r="BH10" s="100">
        <f t="shared" si="46"/>
        <v>0</v>
      </c>
      <c r="BJ10" s="60" t="s">
        <v>10</v>
      </c>
      <c r="BK10" s="109">
        <v>313.20999999999998</v>
      </c>
      <c r="BL10" s="107">
        <v>289.18</v>
      </c>
      <c r="BM10" s="107">
        <v>329.21</v>
      </c>
      <c r="BN10" s="108">
        <v>304.2</v>
      </c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</row>
    <row r="11" spans="2:82" ht="14.5" customHeight="1" thickBot="1">
      <c r="B11" s="130"/>
      <c r="C11" s="96"/>
      <c r="D11" s="97" t="str" cm="1">
        <f t="array" ref="D11">IFERROR(_xlfn.TEXTJOIN("", TRUE, MID(C11, _xlfn.SEQUENCE(LEN(C11), 1, LEN(C11), -1), 1)),"")</f>
        <v/>
      </c>
      <c r="E11" s="99"/>
      <c r="F11" s="95">
        <f>SUMPRODUCT($Y11:$AN11,Calc!$BO$5:$CD$5)-SUMPRODUCT(Calc!$U11:$X11,Calc!$BK$5:$BN$5)</f>
        <v>0</v>
      </c>
      <c r="G11" s="122" t="str">
        <f t="shared" si="1"/>
        <v/>
      </c>
      <c r="H11" s="120" t="e">
        <f t="shared" si="2"/>
        <v>#VALUE!</v>
      </c>
      <c r="I11" s="100">
        <f>SUMPRODUCT($Q11:$T11,Calc!$BK$10:$BN$10)-62.03</f>
        <v>-62.03</v>
      </c>
      <c r="J11" s="95" t="e">
        <f>(1-(0.287*($Q11+$T11)+0.059*($R11+$S11))/(SUM($Q11:$T11)))*(SUMPRODUCT(Calc!$Y11:$AN11,Calc!$BO$5:$CD$5)-SUMPRODUCT($U11:$X11,Calc!$BK$5:$BN$5)+SUMPRODUCT($AS11:$BH11,Calc!$BO$5:$CD$5)-SUMPRODUCT(Calc!$AO11:$AR11,Calc!$BK$5:$BN$5))</f>
        <v>#DIV/0!</v>
      </c>
      <c r="K11" s="120" t="str">
        <f t="shared" si="3"/>
        <v/>
      </c>
      <c r="L11" s="120" t="e">
        <f t="shared" si="4"/>
        <v>#VALUE!</v>
      </c>
      <c r="M11" s="100">
        <f>SUMPRODUCT($Q11:$T11,Calc!$BK$11:$BN$11)-79.2*2+17.01*2</f>
        <v>-124.38</v>
      </c>
      <c r="N11" s="125">
        <f>1000*SUMPRODUCT($Y11:$AN11,Calc!$BO$6:$CD$6)/(-10.8+SUMPRODUCT($Y11:$AN11,Calc!$BO$7:$CD$7)+1.987*LN($O$3*POWER(10,-6)/4))-273.15+16.6*LOG10($N$3*POWER(10,-3))</f>
        <v>-294.74709792802207</v>
      </c>
      <c r="O11" s="127">
        <f t="shared" si="0"/>
        <v>0</v>
      </c>
      <c r="P11" s="135" t="e">
        <f t="shared" si="5"/>
        <v>#DIV/0!</v>
      </c>
      <c r="Q11" s="118">
        <f t="shared" si="6"/>
        <v>0</v>
      </c>
      <c r="R11" s="98">
        <f t="shared" si="6"/>
        <v>0</v>
      </c>
      <c r="S11" s="98">
        <f t="shared" si="6"/>
        <v>0</v>
      </c>
      <c r="T11" s="98">
        <f t="shared" si="6"/>
        <v>0</v>
      </c>
      <c r="U11" s="98">
        <f t="shared" si="7"/>
        <v>0</v>
      </c>
      <c r="V11" s="98">
        <f t="shared" si="8"/>
        <v>0</v>
      </c>
      <c r="W11" s="98">
        <f t="shared" si="9"/>
        <v>0</v>
      </c>
      <c r="X11" s="98">
        <f t="shared" si="10"/>
        <v>0</v>
      </c>
      <c r="Y11" s="98">
        <f t="shared" si="11"/>
        <v>0</v>
      </c>
      <c r="Z11" s="98">
        <f t="shared" si="12"/>
        <v>0</v>
      </c>
      <c r="AA11" s="98">
        <f t="shared" si="13"/>
        <v>0</v>
      </c>
      <c r="AB11" s="98">
        <f t="shared" si="14"/>
        <v>0</v>
      </c>
      <c r="AC11" s="98">
        <f t="shared" si="15"/>
        <v>0</v>
      </c>
      <c r="AD11" s="98">
        <f t="shared" si="16"/>
        <v>0</v>
      </c>
      <c r="AE11" s="98">
        <f t="shared" si="17"/>
        <v>0</v>
      </c>
      <c r="AF11" s="98">
        <f t="shared" si="18"/>
        <v>0</v>
      </c>
      <c r="AG11" s="98">
        <f t="shared" si="19"/>
        <v>0</v>
      </c>
      <c r="AH11" s="98">
        <f t="shared" si="20"/>
        <v>0</v>
      </c>
      <c r="AI11" s="98">
        <f t="shared" si="21"/>
        <v>0</v>
      </c>
      <c r="AJ11" s="98">
        <f t="shared" si="22"/>
        <v>0</v>
      </c>
      <c r="AK11" s="98">
        <f t="shared" si="23"/>
        <v>0</v>
      </c>
      <c r="AL11" s="98">
        <f t="shared" si="24"/>
        <v>0</v>
      </c>
      <c r="AM11" s="98">
        <f t="shared" si="25"/>
        <v>0</v>
      </c>
      <c r="AN11" s="100">
        <f t="shared" si="26"/>
        <v>0</v>
      </c>
      <c r="AO11" s="118">
        <f t="shared" si="27"/>
        <v>0</v>
      </c>
      <c r="AP11" s="98">
        <f t="shared" si="28"/>
        <v>0</v>
      </c>
      <c r="AQ11" s="98">
        <f t="shared" si="29"/>
        <v>0</v>
      </c>
      <c r="AR11" s="98">
        <f t="shared" si="30"/>
        <v>0</v>
      </c>
      <c r="AS11" s="98">
        <f t="shared" si="31"/>
        <v>0</v>
      </c>
      <c r="AT11" s="98">
        <f t="shared" si="32"/>
        <v>0</v>
      </c>
      <c r="AU11" s="98">
        <f t="shared" si="33"/>
        <v>0</v>
      </c>
      <c r="AV11" s="98">
        <f t="shared" si="34"/>
        <v>0</v>
      </c>
      <c r="AW11" s="98">
        <f t="shared" si="35"/>
        <v>0</v>
      </c>
      <c r="AX11" s="98">
        <f t="shared" si="36"/>
        <v>0</v>
      </c>
      <c r="AY11" s="98">
        <f t="shared" si="37"/>
        <v>0</v>
      </c>
      <c r="AZ11" s="98">
        <f t="shared" si="38"/>
        <v>0</v>
      </c>
      <c r="BA11" s="98">
        <f t="shared" si="39"/>
        <v>0</v>
      </c>
      <c r="BB11" s="98">
        <f t="shared" si="40"/>
        <v>0</v>
      </c>
      <c r="BC11" s="98">
        <f t="shared" si="41"/>
        <v>0</v>
      </c>
      <c r="BD11" s="98">
        <f t="shared" si="42"/>
        <v>0</v>
      </c>
      <c r="BE11" s="98">
        <f t="shared" si="43"/>
        <v>0</v>
      </c>
      <c r="BF11" s="98">
        <f t="shared" si="44"/>
        <v>0</v>
      </c>
      <c r="BG11" s="98">
        <f t="shared" si="45"/>
        <v>0</v>
      </c>
      <c r="BH11" s="100">
        <f t="shared" si="46"/>
        <v>0</v>
      </c>
      <c r="BJ11" s="60" t="s">
        <v>75</v>
      </c>
      <c r="BK11" s="109">
        <f>BK10+BN10</f>
        <v>617.41</v>
      </c>
      <c r="BL11" s="107">
        <f>BL10+BM10</f>
        <v>618.39</v>
      </c>
      <c r="BM11" s="107">
        <f>BL10+BM10</f>
        <v>618.39</v>
      </c>
      <c r="BN11" s="108">
        <f>BK10+BN10</f>
        <v>617.41</v>
      </c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</row>
    <row r="12" spans="2:82" ht="14.5" customHeight="1">
      <c r="B12" s="130"/>
      <c r="C12" s="96"/>
      <c r="D12" s="97" t="str" cm="1">
        <f t="array" ref="D12">IFERROR(_xlfn.TEXTJOIN("", TRUE, MID(C12, _xlfn.SEQUENCE(LEN(C12), 1, LEN(C12), -1), 1)),"")</f>
        <v/>
      </c>
      <c r="E12" s="99"/>
      <c r="F12" s="95">
        <f>SUMPRODUCT($Y12:$AN12,Calc!$BO$5:$CD$5)-SUMPRODUCT(Calc!$U12:$X12,Calc!$BK$5:$BN$5)</f>
        <v>0</v>
      </c>
      <c r="G12" s="122" t="str">
        <f t="shared" si="1"/>
        <v/>
      </c>
      <c r="H12" s="120" t="e">
        <f t="shared" si="2"/>
        <v>#VALUE!</v>
      </c>
      <c r="I12" s="100">
        <f>SUMPRODUCT($Q12:$T12,Calc!$BK$10:$BN$10)-62.03</f>
        <v>-62.03</v>
      </c>
      <c r="J12" s="95" t="e">
        <f>(1-(0.287*($Q12+$T12)+0.059*($R12+$S12))/(SUM($Q12:$T12)))*(SUMPRODUCT(Calc!$Y12:$AN12,Calc!$BO$5:$CD$5)-SUMPRODUCT($U12:$X12,Calc!$BK$5:$BN$5)+SUMPRODUCT($AS12:$BH12,Calc!$BO$5:$CD$5)-SUMPRODUCT(Calc!$AO12:$AR12,Calc!$BK$5:$BN$5))</f>
        <v>#DIV/0!</v>
      </c>
      <c r="K12" s="120" t="str">
        <f t="shared" si="3"/>
        <v/>
      </c>
      <c r="L12" s="120" t="e">
        <f t="shared" si="4"/>
        <v>#VALUE!</v>
      </c>
      <c r="M12" s="100">
        <f>SUMPRODUCT($Q12:$T12,Calc!$BK$11:$BN$11)-79.2*2+17.01*2</f>
        <v>-124.38</v>
      </c>
      <c r="N12" s="125">
        <f>1000*SUMPRODUCT($Y12:$AN12,Calc!$BO$6:$CD$6)/(-10.8+SUMPRODUCT($Y12:$AN12,Calc!$BO$7:$CD$7)+1.987*LN($O$3*POWER(10,-6)/4))-273.15+16.6*LOG10($N$3*POWER(10,-3))</f>
        <v>-294.74709792802207</v>
      </c>
      <c r="O12" s="127">
        <f t="shared" si="0"/>
        <v>0</v>
      </c>
      <c r="P12" s="135" t="e">
        <f t="shared" si="5"/>
        <v>#DIV/0!</v>
      </c>
      <c r="Q12" s="118">
        <f t="shared" si="6"/>
        <v>0</v>
      </c>
      <c r="R12" s="98">
        <f t="shared" si="6"/>
        <v>0</v>
      </c>
      <c r="S12" s="98">
        <f t="shared" si="6"/>
        <v>0</v>
      </c>
      <c r="T12" s="98">
        <f t="shared" si="6"/>
        <v>0</v>
      </c>
      <c r="U12" s="98">
        <f t="shared" si="7"/>
        <v>0</v>
      </c>
      <c r="V12" s="98">
        <f t="shared" si="8"/>
        <v>0</v>
      </c>
      <c r="W12" s="98">
        <f t="shared" si="9"/>
        <v>0</v>
      </c>
      <c r="X12" s="98">
        <f t="shared" si="10"/>
        <v>0</v>
      </c>
      <c r="Y12" s="98">
        <f t="shared" si="11"/>
        <v>0</v>
      </c>
      <c r="Z12" s="98">
        <f t="shared" si="12"/>
        <v>0</v>
      </c>
      <c r="AA12" s="98">
        <f t="shared" si="13"/>
        <v>0</v>
      </c>
      <c r="AB12" s="98">
        <f t="shared" si="14"/>
        <v>0</v>
      </c>
      <c r="AC12" s="98">
        <f t="shared" si="15"/>
        <v>0</v>
      </c>
      <c r="AD12" s="98">
        <f t="shared" si="16"/>
        <v>0</v>
      </c>
      <c r="AE12" s="98">
        <f t="shared" si="17"/>
        <v>0</v>
      </c>
      <c r="AF12" s="98">
        <f t="shared" si="18"/>
        <v>0</v>
      </c>
      <c r="AG12" s="98">
        <f t="shared" si="19"/>
        <v>0</v>
      </c>
      <c r="AH12" s="98">
        <f t="shared" si="20"/>
        <v>0</v>
      </c>
      <c r="AI12" s="98">
        <f t="shared" si="21"/>
        <v>0</v>
      </c>
      <c r="AJ12" s="98">
        <f t="shared" si="22"/>
        <v>0</v>
      </c>
      <c r="AK12" s="98">
        <f t="shared" si="23"/>
        <v>0</v>
      </c>
      <c r="AL12" s="98">
        <f t="shared" si="24"/>
        <v>0</v>
      </c>
      <c r="AM12" s="98">
        <f t="shared" si="25"/>
        <v>0</v>
      </c>
      <c r="AN12" s="100">
        <f t="shared" si="26"/>
        <v>0</v>
      </c>
      <c r="AO12" s="118">
        <f t="shared" si="27"/>
        <v>0</v>
      </c>
      <c r="AP12" s="98">
        <f t="shared" si="28"/>
        <v>0</v>
      </c>
      <c r="AQ12" s="98">
        <f t="shared" si="29"/>
        <v>0</v>
      </c>
      <c r="AR12" s="98">
        <f t="shared" si="30"/>
        <v>0</v>
      </c>
      <c r="AS12" s="98">
        <f t="shared" si="31"/>
        <v>0</v>
      </c>
      <c r="AT12" s="98">
        <f t="shared" si="32"/>
        <v>0</v>
      </c>
      <c r="AU12" s="98">
        <f t="shared" si="33"/>
        <v>0</v>
      </c>
      <c r="AV12" s="98">
        <f t="shared" si="34"/>
        <v>0</v>
      </c>
      <c r="AW12" s="98">
        <f t="shared" si="35"/>
        <v>0</v>
      </c>
      <c r="AX12" s="98">
        <f t="shared" si="36"/>
        <v>0</v>
      </c>
      <c r="AY12" s="98">
        <f t="shared" si="37"/>
        <v>0</v>
      </c>
      <c r="AZ12" s="98">
        <f t="shared" si="38"/>
        <v>0</v>
      </c>
      <c r="BA12" s="98">
        <f t="shared" si="39"/>
        <v>0</v>
      </c>
      <c r="BB12" s="98">
        <f t="shared" si="40"/>
        <v>0</v>
      </c>
      <c r="BC12" s="98">
        <f t="shared" si="41"/>
        <v>0</v>
      </c>
      <c r="BD12" s="98">
        <f t="shared" si="42"/>
        <v>0</v>
      </c>
      <c r="BE12" s="98">
        <f t="shared" si="43"/>
        <v>0</v>
      </c>
      <c r="BF12" s="98">
        <f t="shared" si="44"/>
        <v>0</v>
      </c>
      <c r="BG12" s="98">
        <f t="shared" si="45"/>
        <v>0</v>
      </c>
      <c r="BH12" s="100">
        <f t="shared" si="46"/>
        <v>0</v>
      </c>
    </row>
    <row r="13" spans="2:82" ht="14.5" customHeight="1">
      <c r="B13" s="130"/>
      <c r="C13" s="96"/>
      <c r="D13" s="97" t="str" cm="1">
        <f t="array" ref="D13">IFERROR(_xlfn.TEXTJOIN("", TRUE, MID(C13, _xlfn.SEQUENCE(LEN(C13), 1, LEN(C13), -1), 1)),"")</f>
        <v/>
      </c>
      <c r="E13" s="99"/>
      <c r="F13" s="95">
        <f>SUMPRODUCT($Y13:$AN13,Calc!$BO$5:$CD$5)-SUMPRODUCT(Calc!$U13:$X13,Calc!$BK$5:$BN$5)</f>
        <v>0</v>
      </c>
      <c r="G13" s="122" t="str">
        <f t="shared" si="1"/>
        <v/>
      </c>
      <c r="H13" s="120" t="e">
        <f t="shared" si="2"/>
        <v>#VALUE!</v>
      </c>
      <c r="I13" s="100">
        <f>SUMPRODUCT($Q13:$T13,Calc!$BK$10:$BN$10)-62.03</f>
        <v>-62.03</v>
      </c>
      <c r="J13" s="95" t="e">
        <f>(1-(0.287*($Q13+$T13)+0.059*($R13+$S13))/(SUM($Q13:$T13)))*(SUMPRODUCT(Calc!$Y13:$AN13,Calc!$BO$5:$CD$5)-SUMPRODUCT($U13:$X13,Calc!$BK$5:$BN$5)+SUMPRODUCT($AS13:$BH13,Calc!$BO$5:$CD$5)-SUMPRODUCT(Calc!$AO13:$AR13,Calc!$BK$5:$BN$5))</f>
        <v>#DIV/0!</v>
      </c>
      <c r="K13" s="120" t="str">
        <f t="shared" si="3"/>
        <v/>
      </c>
      <c r="L13" s="120" t="e">
        <f t="shared" si="4"/>
        <v>#VALUE!</v>
      </c>
      <c r="M13" s="100">
        <f>SUMPRODUCT($Q13:$T13,Calc!$BK$11:$BN$11)-79.2*2+17.01*2</f>
        <v>-124.38</v>
      </c>
      <c r="N13" s="125">
        <f>1000*SUMPRODUCT($Y13:$AN13,Calc!$BO$6:$CD$6)/(-10.8+SUMPRODUCT($Y13:$AN13,Calc!$BO$7:$CD$7)+1.987*LN($O$3*POWER(10,-6)/4))-273.15+16.6*LOG10($N$3*POWER(10,-3))</f>
        <v>-294.74709792802207</v>
      </c>
      <c r="O13" s="127">
        <f t="shared" si="0"/>
        <v>0</v>
      </c>
      <c r="P13" s="135" t="e">
        <f t="shared" si="5"/>
        <v>#DIV/0!</v>
      </c>
      <c r="Q13" s="118">
        <f t="shared" si="6"/>
        <v>0</v>
      </c>
      <c r="R13" s="98">
        <f t="shared" si="6"/>
        <v>0</v>
      </c>
      <c r="S13" s="98">
        <f t="shared" si="6"/>
        <v>0</v>
      </c>
      <c r="T13" s="98">
        <f t="shared" si="6"/>
        <v>0</v>
      </c>
      <c r="U13" s="98">
        <f t="shared" si="7"/>
        <v>0</v>
      </c>
      <c r="V13" s="98">
        <f t="shared" si="8"/>
        <v>0</v>
      </c>
      <c r="W13" s="98">
        <f t="shared" si="9"/>
        <v>0</v>
      </c>
      <c r="X13" s="98">
        <f t="shared" si="10"/>
        <v>0</v>
      </c>
      <c r="Y13" s="98">
        <f t="shared" si="11"/>
        <v>0</v>
      </c>
      <c r="Z13" s="98">
        <f t="shared" si="12"/>
        <v>0</v>
      </c>
      <c r="AA13" s="98">
        <f t="shared" si="13"/>
        <v>0</v>
      </c>
      <c r="AB13" s="98">
        <f t="shared" si="14"/>
        <v>0</v>
      </c>
      <c r="AC13" s="98">
        <f t="shared" si="15"/>
        <v>0</v>
      </c>
      <c r="AD13" s="98">
        <f t="shared" si="16"/>
        <v>0</v>
      </c>
      <c r="AE13" s="98">
        <f t="shared" si="17"/>
        <v>0</v>
      </c>
      <c r="AF13" s="98">
        <f t="shared" si="18"/>
        <v>0</v>
      </c>
      <c r="AG13" s="98">
        <f t="shared" si="19"/>
        <v>0</v>
      </c>
      <c r="AH13" s="98">
        <f t="shared" si="20"/>
        <v>0</v>
      </c>
      <c r="AI13" s="98">
        <f t="shared" si="21"/>
        <v>0</v>
      </c>
      <c r="AJ13" s="98">
        <f t="shared" si="22"/>
        <v>0</v>
      </c>
      <c r="AK13" s="98">
        <f t="shared" si="23"/>
        <v>0</v>
      </c>
      <c r="AL13" s="98">
        <f t="shared" si="24"/>
        <v>0</v>
      </c>
      <c r="AM13" s="98">
        <f t="shared" si="25"/>
        <v>0</v>
      </c>
      <c r="AN13" s="100">
        <f t="shared" si="26"/>
        <v>0</v>
      </c>
      <c r="AO13" s="118">
        <f t="shared" si="27"/>
        <v>0</v>
      </c>
      <c r="AP13" s="98">
        <f t="shared" si="28"/>
        <v>0</v>
      </c>
      <c r="AQ13" s="98">
        <f t="shared" si="29"/>
        <v>0</v>
      </c>
      <c r="AR13" s="98">
        <f t="shared" si="30"/>
        <v>0</v>
      </c>
      <c r="AS13" s="98">
        <f t="shared" si="31"/>
        <v>0</v>
      </c>
      <c r="AT13" s="98">
        <f t="shared" si="32"/>
        <v>0</v>
      </c>
      <c r="AU13" s="98">
        <f t="shared" si="33"/>
        <v>0</v>
      </c>
      <c r="AV13" s="98">
        <f t="shared" si="34"/>
        <v>0</v>
      </c>
      <c r="AW13" s="98">
        <f t="shared" si="35"/>
        <v>0</v>
      </c>
      <c r="AX13" s="98">
        <f t="shared" si="36"/>
        <v>0</v>
      </c>
      <c r="AY13" s="98">
        <f t="shared" si="37"/>
        <v>0</v>
      </c>
      <c r="AZ13" s="98">
        <f t="shared" si="38"/>
        <v>0</v>
      </c>
      <c r="BA13" s="98">
        <f t="shared" si="39"/>
        <v>0</v>
      </c>
      <c r="BB13" s="98">
        <f t="shared" si="40"/>
        <v>0</v>
      </c>
      <c r="BC13" s="98">
        <f t="shared" si="41"/>
        <v>0</v>
      </c>
      <c r="BD13" s="98">
        <f t="shared" si="42"/>
        <v>0</v>
      </c>
      <c r="BE13" s="98">
        <f t="shared" si="43"/>
        <v>0</v>
      </c>
      <c r="BF13" s="98">
        <f t="shared" si="44"/>
        <v>0</v>
      </c>
      <c r="BG13" s="98">
        <f t="shared" si="45"/>
        <v>0</v>
      </c>
      <c r="BH13" s="100">
        <f t="shared" si="46"/>
        <v>0</v>
      </c>
    </row>
    <row r="14" spans="2:82" ht="14.5" customHeight="1">
      <c r="B14" s="130"/>
      <c r="C14" s="96"/>
      <c r="D14" s="97" t="str" cm="1">
        <f t="array" ref="D14">IFERROR(_xlfn.TEXTJOIN("", TRUE, MID(C14, _xlfn.SEQUENCE(LEN(C14), 1, LEN(C14), -1), 1)),"")</f>
        <v/>
      </c>
      <c r="E14" s="99"/>
      <c r="F14" s="95">
        <f>SUMPRODUCT($Y14:$AN14,Calc!$BO$5:$CD$5)-SUMPRODUCT(Calc!$U14:$X14,Calc!$BK$5:$BN$5)</f>
        <v>0</v>
      </c>
      <c r="G14" s="122" t="str">
        <f t="shared" si="1"/>
        <v/>
      </c>
      <c r="H14" s="120" t="e">
        <f t="shared" si="2"/>
        <v>#VALUE!</v>
      </c>
      <c r="I14" s="100">
        <f>SUMPRODUCT($Q14:$T14,Calc!$BK$10:$BN$10)-62.03</f>
        <v>-62.03</v>
      </c>
      <c r="J14" s="95" t="e">
        <f>(1-(0.287*($Q14+$T14)+0.059*($R14+$S14))/(SUM($Q14:$T14)))*(SUMPRODUCT(Calc!$Y14:$AN14,Calc!$BO$5:$CD$5)-SUMPRODUCT($U14:$X14,Calc!$BK$5:$BN$5)+SUMPRODUCT($AS14:$BH14,Calc!$BO$5:$CD$5)-SUMPRODUCT(Calc!$AO14:$AR14,Calc!$BK$5:$BN$5))</f>
        <v>#DIV/0!</v>
      </c>
      <c r="K14" s="120" t="str">
        <f t="shared" si="3"/>
        <v/>
      </c>
      <c r="L14" s="120" t="e">
        <f t="shared" si="4"/>
        <v>#VALUE!</v>
      </c>
      <c r="M14" s="100">
        <f>SUMPRODUCT($Q14:$T14,Calc!$BK$11:$BN$11)-79.2*2+17.01*2</f>
        <v>-124.38</v>
      </c>
      <c r="N14" s="125">
        <f>1000*SUMPRODUCT($Y14:$AN14,Calc!$BO$6:$CD$6)/(-10.8+SUMPRODUCT($Y14:$AN14,Calc!$BO$7:$CD$7)+1.987*LN($O$3*POWER(10,-6)/4))-273.15+16.6*LOG10($N$3*POWER(10,-3))</f>
        <v>-294.74709792802207</v>
      </c>
      <c r="O14" s="127">
        <f t="shared" si="0"/>
        <v>0</v>
      </c>
      <c r="P14" s="135" t="e">
        <f t="shared" si="5"/>
        <v>#DIV/0!</v>
      </c>
      <c r="Q14" s="118">
        <f t="shared" si="6"/>
        <v>0</v>
      </c>
      <c r="R14" s="98">
        <f t="shared" si="6"/>
        <v>0</v>
      </c>
      <c r="S14" s="98">
        <f t="shared" si="6"/>
        <v>0</v>
      </c>
      <c r="T14" s="98">
        <f t="shared" si="6"/>
        <v>0</v>
      </c>
      <c r="U14" s="98">
        <f t="shared" si="7"/>
        <v>0</v>
      </c>
      <c r="V14" s="98">
        <f t="shared" si="8"/>
        <v>0</v>
      </c>
      <c r="W14" s="98">
        <f t="shared" si="9"/>
        <v>0</v>
      </c>
      <c r="X14" s="98">
        <f t="shared" si="10"/>
        <v>0</v>
      </c>
      <c r="Y14" s="98">
        <f t="shared" si="11"/>
        <v>0</v>
      </c>
      <c r="Z14" s="98">
        <f t="shared" si="12"/>
        <v>0</v>
      </c>
      <c r="AA14" s="98">
        <f t="shared" si="13"/>
        <v>0</v>
      </c>
      <c r="AB14" s="98">
        <f t="shared" si="14"/>
        <v>0</v>
      </c>
      <c r="AC14" s="98">
        <f t="shared" si="15"/>
        <v>0</v>
      </c>
      <c r="AD14" s="98">
        <f t="shared" si="16"/>
        <v>0</v>
      </c>
      <c r="AE14" s="98">
        <f t="shared" si="17"/>
        <v>0</v>
      </c>
      <c r="AF14" s="98">
        <f t="shared" si="18"/>
        <v>0</v>
      </c>
      <c r="AG14" s="98">
        <f t="shared" si="19"/>
        <v>0</v>
      </c>
      <c r="AH14" s="98">
        <f t="shared" si="20"/>
        <v>0</v>
      </c>
      <c r="AI14" s="98">
        <f t="shared" si="21"/>
        <v>0</v>
      </c>
      <c r="AJ14" s="98">
        <f t="shared" si="22"/>
        <v>0</v>
      </c>
      <c r="AK14" s="98">
        <f t="shared" si="23"/>
        <v>0</v>
      </c>
      <c r="AL14" s="98">
        <f t="shared" si="24"/>
        <v>0</v>
      </c>
      <c r="AM14" s="98">
        <f t="shared" si="25"/>
        <v>0</v>
      </c>
      <c r="AN14" s="100">
        <f t="shared" si="26"/>
        <v>0</v>
      </c>
      <c r="AO14" s="118">
        <f t="shared" si="27"/>
        <v>0</v>
      </c>
      <c r="AP14" s="98">
        <f t="shared" si="28"/>
        <v>0</v>
      </c>
      <c r="AQ14" s="98">
        <f t="shared" si="29"/>
        <v>0</v>
      </c>
      <c r="AR14" s="98">
        <f t="shared" si="30"/>
        <v>0</v>
      </c>
      <c r="AS14" s="98">
        <f t="shared" si="31"/>
        <v>0</v>
      </c>
      <c r="AT14" s="98">
        <f t="shared" si="32"/>
        <v>0</v>
      </c>
      <c r="AU14" s="98">
        <f t="shared" si="33"/>
        <v>0</v>
      </c>
      <c r="AV14" s="98">
        <f t="shared" si="34"/>
        <v>0</v>
      </c>
      <c r="AW14" s="98">
        <f t="shared" si="35"/>
        <v>0</v>
      </c>
      <c r="AX14" s="98">
        <f t="shared" si="36"/>
        <v>0</v>
      </c>
      <c r="AY14" s="98">
        <f t="shared" si="37"/>
        <v>0</v>
      </c>
      <c r="AZ14" s="98">
        <f t="shared" si="38"/>
        <v>0</v>
      </c>
      <c r="BA14" s="98">
        <f t="shared" si="39"/>
        <v>0</v>
      </c>
      <c r="BB14" s="98">
        <f t="shared" si="40"/>
        <v>0</v>
      </c>
      <c r="BC14" s="98">
        <f t="shared" si="41"/>
        <v>0</v>
      </c>
      <c r="BD14" s="98">
        <f t="shared" si="42"/>
        <v>0</v>
      </c>
      <c r="BE14" s="98">
        <f t="shared" si="43"/>
        <v>0</v>
      </c>
      <c r="BF14" s="98">
        <f t="shared" si="44"/>
        <v>0</v>
      </c>
      <c r="BG14" s="98">
        <f t="shared" si="45"/>
        <v>0</v>
      </c>
      <c r="BH14" s="100">
        <f t="shared" si="46"/>
        <v>0</v>
      </c>
    </row>
    <row r="15" spans="2:82" ht="14.5" customHeight="1">
      <c r="B15" s="130"/>
      <c r="C15" s="96"/>
      <c r="D15" s="97" t="str" cm="1">
        <f t="array" ref="D15">IFERROR(_xlfn.TEXTJOIN("", TRUE, MID(C15, _xlfn.SEQUENCE(LEN(C15), 1, LEN(C15), -1), 1)),"")</f>
        <v/>
      </c>
      <c r="E15" s="99"/>
      <c r="F15" s="95">
        <f>SUMPRODUCT($Y15:$AN15,Calc!$BO$5:$CD$5)-SUMPRODUCT(Calc!$U15:$X15,Calc!$BK$5:$BN$5)</f>
        <v>0</v>
      </c>
      <c r="G15" s="122" t="str">
        <f t="shared" si="1"/>
        <v/>
      </c>
      <c r="H15" s="120" t="e">
        <f t="shared" si="2"/>
        <v>#VALUE!</v>
      </c>
      <c r="I15" s="100">
        <f>SUMPRODUCT($Q15:$T15,Calc!$BK$10:$BN$10)-62.03</f>
        <v>-62.03</v>
      </c>
      <c r="J15" s="95" t="e">
        <f>(1-(0.287*($Q15+$T15)+0.059*($R15+$S15))/(SUM($Q15:$T15)))*(SUMPRODUCT(Calc!$Y15:$AN15,Calc!$BO$5:$CD$5)-SUMPRODUCT($U15:$X15,Calc!$BK$5:$BN$5)+SUMPRODUCT($AS15:$BH15,Calc!$BO$5:$CD$5)-SUMPRODUCT(Calc!$AO15:$AR15,Calc!$BK$5:$BN$5))</f>
        <v>#DIV/0!</v>
      </c>
      <c r="K15" s="120" t="str">
        <f t="shared" si="3"/>
        <v/>
      </c>
      <c r="L15" s="120" t="e">
        <f t="shared" si="4"/>
        <v>#VALUE!</v>
      </c>
      <c r="M15" s="100">
        <f>SUMPRODUCT($Q15:$T15,Calc!$BK$11:$BN$11)-79.2*2+17.01*2</f>
        <v>-124.38</v>
      </c>
      <c r="N15" s="125">
        <f>1000*SUMPRODUCT($Y15:$AN15,Calc!$BO$6:$CD$6)/(-10.8+SUMPRODUCT($Y15:$AN15,Calc!$BO$7:$CD$7)+1.987*LN($O$3*POWER(10,-6)/4))-273.15+16.6*LOG10($N$3*POWER(10,-3))</f>
        <v>-294.74709792802207</v>
      </c>
      <c r="O15" s="127">
        <f t="shared" si="0"/>
        <v>0</v>
      </c>
      <c r="P15" s="135" t="e">
        <f t="shared" si="5"/>
        <v>#DIV/0!</v>
      </c>
      <c r="Q15" s="118">
        <f t="shared" si="6"/>
        <v>0</v>
      </c>
      <c r="R15" s="98">
        <f t="shared" si="6"/>
        <v>0</v>
      </c>
      <c r="S15" s="98">
        <f t="shared" si="6"/>
        <v>0</v>
      </c>
      <c r="T15" s="98">
        <f t="shared" si="6"/>
        <v>0</v>
      </c>
      <c r="U15" s="98">
        <f t="shared" si="7"/>
        <v>0</v>
      </c>
      <c r="V15" s="98">
        <f t="shared" si="8"/>
        <v>0</v>
      </c>
      <c r="W15" s="98">
        <f t="shared" si="9"/>
        <v>0</v>
      </c>
      <c r="X15" s="98">
        <f t="shared" si="10"/>
        <v>0</v>
      </c>
      <c r="Y15" s="98">
        <f t="shared" si="11"/>
        <v>0</v>
      </c>
      <c r="Z15" s="98">
        <f t="shared" si="12"/>
        <v>0</v>
      </c>
      <c r="AA15" s="98">
        <f t="shared" si="13"/>
        <v>0</v>
      </c>
      <c r="AB15" s="98">
        <f t="shared" si="14"/>
        <v>0</v>
      </c>
      <c r="AC15" s="98">
        <f t="shared" si="15"/>
        <v>0</v>
      </c>
      <c r="AD15" s="98">
        <f t="shared" si="16"/>
        <v>0</v>
      </c>
      <c r="AE15" s="98">
        <f t="shared" si="17"/>
        <v>0</v>
      </c>
      <c r="AF15" s="98">
        <f t="shared" si="18"/>
        <v>0</v>
      </c>
      <c r="AG15" s="98">
        <f t="shared" si="19"/>
        <v>0</v>
      </c>
      <c r="AH15" s="98">
        <f t="shared" si="20"/>
        <v>0</v>
      </c>
      <c r="AI15" s="98">
        <f t="shared" si="21"/>
        <v>0</v>
      </c>
      <c r="AJ15" s="98">
        <f t="shared" si="22"/>
        <v>0</v>
      </c>
      <c r="AK15" s="98">
        <f t="shared" si="23"/>
        <v>0</v>
      </c>
      <c r="AL15" s="98">
        <f t="shared" si="24"/>
        <v>0</v>
      </c>
      <c r="AM15" s="98">
        <f t="shared" si="25"/>
        <v>0</v>
      </c>
      <c r="AN15" s="100">
        <f t="shared" si="26"/>
        <v>0</v>
      </c>
      <c r="AO15" s="118">
        <f t="shared" si="27"/>
        <v>0</v>
      </c>
      <c r="AP15" s="98">
        <f t="shared" si="28"/>
        <v>0</v>
      </c>
      <c r="AQ15" s="98">
        <f t="shared" si="29"/>
        <v>0</v>
      </c>
      <c r="AR15" s="98">
        <f t="shared" si="30"/>
        <v>0</v>
      </c>
      <c r="AS15" s="98">
        <f t="shared" si="31"/>
        <v>0</v>
      </c>
      <c r="AT15" s="98">
        <f t="shared" si="32"/>
        <v>0</v>
      </c>
      <c r="AU15" s="98">
        <f t="shared" si="33"/>
        <v>0</v>
      </c>
      <c r="AV15" s="98">
        <f t="shared" si="34"/>
        <v>0</v>
      </c>
      <c r="AW15" s="98">
        <f t="shared" si="35"/>
        <v>0</v>
      </c>
      <c r="AX15" s="98">
        <f t="shared" si="36"/>
        <v>0</v>
      </c>
      <c r="AY15" s="98">
        <f t="shared" si="37"/>
        <v>0</v>
      </c>
      <c r="AZ15" s="98">
        <f t="shared" si="38"/>
        <v>0</v>
      </c>
      <c r="BA15" s="98">
        <f t="shared" si="39"/>
        <v>0</v>
      </c>
      <c r="BB15" s="98">
        <f t="shared" si="40"/>
        <v>0</v>
      </c>
      <c r="BC15" s="98">
        <f t="shared" si="41"/>
        <v>0</v>
      </c>
      <c r="BD15" s="98">
        <f t="shared" si="42"/>
        <v>0</v>
      </c>
      <c r="BE15" s="98">
        <f t="shared" si="43"/>
        <v>0</v>
      </c>
      <c r="BF15" s="98">
        <f t="shared" si="44"/>
        <v>0</v>
      </c>
      <c r="BG15" s="98">
        <f t="shared" si="45"/>
        <v>0</v>
      </c>
      <c r="BH15" s="100">
        <f t="shared" si="46"/>
        <v>0</v>
      </c>
    </row>
    <row r="16" spans="2:82" ht="14.5" customHeight="1">
      <c r="B16" s="130"/>
      <c r="C16" s="96"/>
      <c r="D16" s="97" t="str" cm="1">
        <f t="array" ref="D16">IFERROR(_xlfn.TEXTJOIN("", TRUE, MID(C16, _xlfn.SEQUENCE(LEN(C16), 1, LEN(C16), -1), 1)),"")</f>
        <v/>
      </c>
      <c r="E16" s="99"/>
      <c r="F16" s="95">
        <f>SUMPRODUCT($Y16:$AN16,Calc!$BO$5:$CD$5)-SUMPRODUCT(Calc!$U16:$X16,Calc!$BK$5:$BN$5)</f>
        <v>0</v>
      </c>
      <c r="G16" s="122" t="str">
        <f t="shared" si="1"/>
        <v/>
      </c>
      <c r="H16" s="120" t="e">
        <f t="shared" si="2"/>
        <v>#VALUE!</v>
      </c>
      <c r="I16" s="100">
        <f>SUMPRODUCT($Q16:$T16,Calc!$BK$10:$BN$10)-62.03</f>
        <v>-62.03</v>
      </c>
      <c r="J16" s="95" t="e">
        <f>(1-(0.287*($Q16+$T16)+0.059*($R16+$S16))/(SUM($Q16:$T16)))*(SUMPRODUCT(Calc!$Y16:$AN16,Calc!$BO$5:$CD$5)-SUMPRODUCT($U16:$X16,Calc!$BK$5:$BN$5)+SUMPRODUCT($AS16:$BH16,Calc!$BO$5:$CD$5)-SUMPRODUCT(Calc!$AO16:$AR16,Calc!$BK$5:$BN$5))</f>
        <v>#DIV/0!</v>
      </c>
      <c r="K16" s="120" t="str">
        <f t="shared" si="3"/>
        <v/>
      </c>
      <c r="L16" s="120" t="e">
        <f t="shared" si="4"/>
        <v>#VALUE!</v>
      </c>
      <c r="M16" s="100">
        <f>SUMPRODUCT($Q16:$T16,Calc!$BK$11:$BN$11)-79.2*2+17.01*2</f>
        <v>-124.38</v>
      </c>
      <c r="N16" s="125">
        <f>1000*SUMPRODUCT($Y16:$AN16,Calc!$BO$6:$CD$6)/(-10.8+SUMPRODUCT($Y16:$AN16,Calc!$BO$7:$CD$7)+1.987*LN($O$3*POWER(10,-6)/4))-273.15+16.6*LOG10($N$3*POWER(10,-3))</f>
        <v>-294.74709792802207</v>
      </c>
      <c r="O16" s="127">
        <f t="shared" si="0"/>
        <v>0</v>
      </c>
      <c r="P16" s="135" t="e">
        <f t="shared" si="5"/>
        <v>#DIV/0!</v>
      </c>
      <c r="Q16" s="118">
        <f t="shared" si="6"/>
        <v>0</v>
      </c>
      <c r="R16" s="98">
        <f t="shared" si="6"/>
        <v>0</v>
      </c>
      <c r="S16" s="98">
        <f t="shared" si="6"/>
        <v>0</v>
      </c>
      <c r="T16" s="98">
        <f t="shared" si="6"/>
        <v>0</v>
      </c>
      <c r="U16" s="98">
        <f t="shared" si="7"/>
        <v>0</v>
      </c>
      <c r="V16" s="98">
        <f t="shared" si="8"/>
        <v>0</v>
      </c>
      <c r="W16" s="98">
        <f t="shared" si="9"/>
        <v>0</v>
      </c>
      <c r="X16" s="98">
        <f t="shared" si="10"/>
        <v>0</v>
      </c>
      <c r="Y16" s="98">
        <f t="shared" si="11"/>
        <v>0</v>
      </c>
      <c r="Z16" s="98">
        <f t="shared" si="12"/>
        <v>0</v>
      </c>
      <c r="AA16" s="98">
        <f t="shared" si="13"/>
        <v>0</v>
      </c>
      <c r="AB16" s="98">
        <f t="shared" si="14"/>
        <v>0</v>
      </c>
      <c r="AC16" s="98">
        <f t="shared" si="15"/>
        <v>0</v>
      </c>
      <c r="AD16" s="98">
        <f t="shared" si="16"/>
        <v>0</v>
      </c>
      <c r="AE16" s="98">
        <f t="shared" si="17"/>
        <v>0</v>
      </c>
      <c r="AF16" s="98">
        <f t="shared" si="18"/>
        <v>0</v>
      </c>
      <c r="AG16" s="98">
        <f t="shared" si="19"/>
        <v>0</v>
      </c>
      <c r="AH16" s="98">
        <f t="shared" si="20"/>
        <v>0</v>
      </c>
      <c r="AI16" s="98">
        <f t="shared" si="21"/>
        <v>0</v>
      </c>
      <c r="AJ16" s="98">
        <f t="shared" si="22"/>
        <v>0</v>
      </c>
      <c r="AK16" s="98">
        <f t="shared" si="23"/>
        <v>0</v>
      </c>
      <c r="AL16" s="98">
        <f t="shared" si="24"/>
        <v>0</v>
      </c>
      <c r="AM16" s="98">
        <f t="shared" si="25"/>
        <v>0</v>
      </c>
      <c r="AN16" s="100">
        <f t="shared" si="26"/>
        <v>0</v>
      </c>
      <c r="AO16" s="118">
        <f t="shared" si="27"/>
        <v>0</v>
      </c>
      <c r="AP16" s="98">
        <f t="shared" si="28"/>
        <v>0</v>
      </c>
      <c r="AQ16" s="98">
        <f t="shared" si="29"/>
        <v>0</v>
      </c>
      <c r="AR16" s="98">
        <f t="shared" si="30"/>
        <v>0</v>
      </c>
      <c r="AS16" s="98">
        <f t="shared" si="31"/>
        <v>0</v>
      </c>
      <c r="AT16" s="98">
        <f t="shared" si="32"/>
        <v>0</v>
      </c>
      <c r="AU16" s="98">
        <f t="shared" si="33"/>
        <v>0</v>
      </c>
      <c r="AV16" s="98">
        <f t="shared" si="34"/>
        <v>0</v>
      </c>
      <c r="AW16" s="98">
        <f t="shared" si="35"/>
        <v>0</v>
      </c>
      <c r="AX16" s="98">
        <f t="shared" si="36"/>
        <v>0</v>
      </c>
      <c r="AY16" s="98">
        <f t="shared" si="37"/>
        <v>0</v>
      </c>
      <c r="AZ16" s="98">
        <f t="shared" si="38"/>
        <v>0</v>
      </c>
      <c r="BA16" s="98">
        <f t="shared" si="39"/>
        <v>0</v>
      </c>
      <c r="BB16" s="98">
        <f t="shared" si="40"/>
        <v>0</v>
      </c>
      <c r="BC16" s="98">
        <f t="shared" si="41"/>
        <v>0</v>
      </c>
      <c r="BD16" s="98">
        <f t="shared" si="42"/>
        <v>0</v>
      </c>
      <c r="BE16" s="98">
        <f t="shared" si="43"/>
        <v>0</v>
      </c>
      <c r="BF16" s="98">
        <f t="shared" si="44"/>
        <v>0</v>
      </c>
      <c r="BG16" s="98">
        <f t="shared" si="45"/>
        <v>0</v>
      </c>
      <c r="BH16" s="100">
        <f t="shared" si="46"/>
        <v>0</v>
      </c>
    </row>
    <row r="17" spans="2:60" ht="14.5" customHeight="1">
      <c r="B17" s="130"/>
      <c r="C17" s="96"/>
      <c r="D17" s="97" t="str" cm="1">
        <f t="array" ref="D17">IFERROR(_xlfn.TEXTJOIN("", TRUE, MID(C17, _xlfn.SEQUENCE(LEN(C17), 1, LEN(C17), -1), 1)),"")</f>
        <v/>
      </c>
      <c r="E17" s="99"/>
      <c r="F17" s="95">
        <f>SUMPRODUCT($Y17:$AN17,Calc!$BO$5:$CD$5)-SUMPRODUCT(Calc!$U17:$X17,Calc!$BK$5:$BN$5)</f>
        <v>0</v>
      </c>
      <c r="G17" s="122" t="str">
        <f t="shared" si="1"/>
        <v/>
      </c>
      <c r="H17" s="120" t="e">
        <f t="shared" si="2"/>
        <v>#VALUE!</v>
      </c>
      <c r="I17" s="100">
        <f>SUMPRODUCT($Q17:$T17,Calc!$BK$10:$BN$10)-62.03</f>
        <v>-62.03</v>
      </c>
      <c r="J17" s="95" t="e">
        <f>(1-(0.287*($Q17+$T17)+0.059*($R17+$S17))/(SUM($Q17:$T17)))*(SUMPRODUCT(Calc!$Y17:$AN17,Calc!$BO$5:$CD$5)-SUMPRODUCT($U17:$X17,Calc!$BK$5:$BN$5)+SUMPRODUCT($AS17:$BH17,Calc!$BO$5:$CD$5)-SUMPRODUCT(Calc!$AO17:$AR17,Calc!$BK$5:$BN$5))</f>
        <v>#DIV/0!</v>
      </c>
      <c r="K17" s="120" t="str">
        <f t="shared" si="3"/>
        <v/>
      </c>
      <c r="L17" s="120" t="e">
        <f t="shared" si="4"/>
        <v>#VALUE!</v>
      </c>
      <c r="M17" s="100">
        <f>SUMPRODUCT($Q17:$T17,Calc!$BK$11:$BN$11)-79.2*2+17.01*2</f>
        <v>-124.38</v>
      </c>
      <c r="N17" s="125">
        <f>1000*SUMPRODUCT($Y17:$AN17,Calc!$BO$6:$CD$6)/(-10.8+SUMPRODUCT($Y17:$AN17,Calc!$BO$7:$CD$7)+1.987*LN($O$3*POWER(10,-6)/4))-273.15+16.6*LOG10($N$3*POWER(10,-3))</f>
        <v>-294.74709792802207</v>
      </c>
      <c r="O17" s="127">
        <f t="shared" si="0"/>
        <v>0</v>
      </c>
      <c r="P17" s="135" t="e">
        <f t="shared" si="5"/>
        <v>#DIV/0!</v>
      </c>
      <c r="Q17" s="118">
        <f t="shared" si="6"/>
        <v>0</v>
      </c>
      <c r="R17" s="98">
        <f t="shared" si="6"/>
        <v>0</v>
      </c>
      <c r="S17" s="98">
        <f t="shared" si="6"/>
        <v>0</v>
      </c>
      <c r="T17" s="98">
        <f t="shared" si="6"/>
        <v>0</v>
      </c>
      <c r="U17" s="98">
        <f t="shared" si="7"/>
        <v>0</v>
      </c>
      <c r="V17" s="98">
        <f t="shared" si="8"/>
        <v>0</v>
      </c>
      <c r="W17" s="98">
        <f t="shared" si="9"/>
        <v>0</v>
      </c>
      <c r="X17" s="98">
        <f t="shared" si="10"/>
        <v>0</v>
      </c>
      <c r="Y17" s="98">
        <f t="shared" si="11"/>
        <v>0</v>
      </c>
      <c r="Z17" s="98">
        <f t="shared" si="12"/>
        <v>0</v>
      </c>
      <c r="AA17" s="98">
        <f t="shared" si="13"/>
        <v>0</v>
      </c>
      <c r="AB17" s="98">
        <f t="shared" si="14"/>
        <v>0</v>
      </c>
      <c r="AC17" s="98">
        <f t="shared" si="15"/>
        <v>0</v>
      </c>
      <c r="AD17" s="98">
        <f t="shared" si="16"/>
        <v>0</v>
      </c>
      <c r="AE17" s="98">
        <f t="shared" si="17"/>
        <v>0</v>
      </c>
      <c r="AF17" s="98">
        <f t="shared" si="18"/>
        <v>0</v>
      </c>
      <c r="AG17" s="98">
        <f t="shared" si="19"/>
        <v>0</v>
      </c>
      <c r="AH17" s="98">
        <f t="shared" si="20"/>
        <v>0</v>
      </c>
      <c r="AI17" s="98">
        <f t="shared" si="21"/>
        <v>0</v>
      </c>
      <c r="AJ17" s="98">
        <f t="shared" si="22"/>
        <v>0</v>
      </c>
      <c r="AK17" s="98">
        <f t="shared" si="23"/>
        <v>0</v>
      </c>
      <c r="AL17" s="98">
        <f t="shared" si="24"/>
        <v>0</v>
      </c>
      <c r="AM17" s="98">
        <f t="shared" si="25"/>
        <v>0</v>
      </c>
      <c r="AN17" s="100">
        <f t="shared" si="26"/>
        <v>0</v>
      </c>
      <c r="AO17" s="118">
        <f t="shared" si="27"/>
        <v>0</v>
      </c>
      <c r="AP17" s="98">
        <f t="shared" si="28"/>
        <v>0</v>
      </c>
      <c r="AQ17" s="98">
        <f t="shared" si="29"/>
        <v>0</v>
      </c>
      <c r="AR17" s="98">
        <f t="shared" si="30"/>
        <v>0</v>
      </c>
      <c r="AS17" s="98">
        <f t="shared" si="31"/>
        <v>0</v>
      </c>
      <c r="AT17" s="98">
        <f t="shared" si="32"/>
        <v>0</v>
      </c>
      <c r="AU17" s="98">
        <f t="shared" si="33"/>
        <v>0</v>
      </c>
      <c r="AV17" s="98">
        <f t="shared" si="34"/>
        <v>0</v>
      </c>
      <c r="AW17" s="98">
        <f t="shared" si="35"/>
        <v>0</v>
      </c>
      <c r="AX17" s="98">
        <f t="shared" si="36"/>
        <v>0</v>
      </c>
      <c r="AY17" s="98">
        <f t="shared" si="37"/>
        <v>0</v>
      </c>
      <c r="AZ17" s="98">
        <f t="shared" si="38"/>
        <v>0</v>
      </c>
      <c r="BA17" s="98">
        <f t="shared" si="39"/>
        <v>0</v>
      </c>
      <c r="BB17" s="98">
        <f t="shared" si="40"/>
        <v>0</v>
      </c>
      <c r="BC17" s="98">
        <f t="shared" si="41"/>
        <v>0</v>
      </c>
      <c r="BD17" s="98">
        <f t="shared" si="42"/>
        <v>0</v>
      </c>
      <c r="BE17" s="98">
        <f t="shared" si="43"/>
        <v>0</v>
      </c>
      <c r="BF17" s="98">
        <f t="shared" si="44"/>
        <v>0</v>
      </c>
      <c r="BG17" s="98">
        <f t="shared" si="45"/>
        <v>0</v>
      </c>
      <c r="BH17" s="100">
        <f t="shared" si="46"/>
        <v>0</v>
      </c>
    </row>
    <row r="18" spans="2:60" ht="14.5" customHeight="1">
      <c r="B18" s="130"/>
      <c r="C18" s="96"/>
      <c r="D18" s="97" t="str" cm="1">
        <f t="array" ref="D18">IFERROR(_xlfn.TEXTJOIN("", TRUE, MID(C18, _xlfn.SEQUENCE(LEN(C18), 1, LEN(C18), -1), 1)),"")</f>
        <v/>
      </c>
      <c r="E18" s="99"/>
      <c r="F18" s="95">
        <f>SUMPRODUCT($Y18:$AN18,Calc!$BO$5:$CD$5)-SUMPRODUCT(Calc!$U18:$X18,Calc!$BK$5:$BN$5)</f>
        <v>0</v>
      </c>
      <c r="G18" s="122" t="str">
        <f t="shared" si="1"/>
        <v/>
      </c>
      <c r="H18" s="120" t="e">
        <f t="shared" si="2"/>
        <v>#VALUE!</v>
      </c>
      <c r="I18" s="100">
        <f>SUMPRODUCT($Q18:$T18,Calc!$BK$10:$BN$10)-62.03</f>
        <v>-62.03</v>
      </c>
      <c r="J18" s="95" t="e">
        <f>(1-(0.287*($Q18+$T18)+0.059*($R18+$S18))/(SUM($Q18:$T18)))*(SUMPRODUCT(Calc!$Y18:$AN18,Calc!$BO$5:$CD$5)-SUMPRODUCT($U18:$X18,Calc!$BK$5:$BN$5)+SUMPRODUCT($AS18:$BH18,Calc!$BO$5:$CD$5)-SUMPRODUCT(Calc!$AO18:$AR18,Calc!$BK$5:$BN$5))</f>
        <v>#DIV/0!</v>
      </c>
      <c r="K18" s="120" t="str">
        <f t="shared" si="3"/>
        <v/>
      </c>
      <c r="L18" s="120" t="e">
        <f t="shared" si="4"/>
        <v>#VALUE!</v>
      </c>
      <c r="M18" s="100">
        <f>SUMPRODUCT($Q18:$T18,Calc!$BK$11:$BN$11)-79.2*2+17.01*2</f>
        <v>-124.38</v>
      </c>
      <c r="N18" s="125">
        <f>1000*SUMPRODUCT($Y18:$AN18,Calc!$BO$6:$CD$6)/(-10.8+SUMPRODUCT($Y18:$AN18,Calc!$BO$7:$CD$7)+1.987*LN($O$3*POWER(10,-6)/4))-273.15+16.6*LOG10($N$3*POWER(10,-3))</f>
        <v>-294.74709792802207</v>
      </c>
      <c r="O18" s="127">
        <f t="shared" si="0"/>
        <v>0</v>
      </c>
      <c r="P18" s="135" t="e">
        <f t="shared" si="5"/>
        <v>#DIV/0!</v>
      </c>
      <c r="Q18" s="118">
        <f t="shared" si="6"/>
        <v>0</v>
      </c>
      <c r="R18" s="98">
        <f t="shared" si="6"/>
        <v>0</v>
      </c>
      <c r="S18" s="98">
        <f t="shared" si="6"/>
        <v>0</v>
      </c>
      <c r="T18" s="98">
        <f t="shared" si="6"/>
        <v>0</v>
      </c>
      <c r="U18" s="98">
        <f t="shared" si="7"/>
        <v>0</v>
      </c>
      <c r="V18" s="98">
        <f t="shared" si="8"/>
        <v>0</v>
      </c>
      <c r="W18" s="98">
        <f t="shared" si="9"/>
        <v>0</v>
      </c>
      <c r="X18" s="98">
        <f t="shared" si="10"/>
        <v>0</v>
      </c>
      <c r="Y18" s="98">
        <f t="shared" si="11"/>
        <v>0</v>
      </c>
      <c r="Z18" s="98">
        <f t="shared" si="12"/>
        <v>0</v>
      </c>
      <c r="AA18" s="98">
        <f t="shared" si="13"/>
        <v>0</v>
      </c>
      <c r="AB18" s="98">
        <f t="shared" si="14"/>
        <v>0</v>
      </c>
      <c r="AC18" s="98">
        <f t="shared" si="15"/>
        <v>0</v>
      </c>
      <c r="AD18" s="98">
        <f t="shared" si="16"/>
        <v>0</v>
      </c>
      <c r="AE18" s="98">
        <f t="shared" si="17"/>
        <v>0</v>
      </c>
      <c r="AF18" s="98">
        <f t="shared" si="18"/>
        <v>0</v>
      </c>
      <c r="AG18" s="98">
        <f t="shared" si="19"/>
        <v>0</v>
      </c>
      <c r="AH18" s="98">
        <f t="shared" si="20"/>
        <v>0</v>
      </c>
      <c r="AI18" s="98">
        <f t="shared" si="21"/>
        <v>0</v>
      </c>
      <c r="AJ18" s="98">
        <f t="shared" si="22"/>
        <v>0</v>
      </c>
      <c r="AK18" s="98">
        <f t="shared" si="23"/>
        <v>0</v>
      </c>
      <c r="AL18" s="98">
        <f t="shared" si="24"/>
        <v>0</v>
      </c>
      <c r="AM18" s="98">
        <f t="shared" si="25"/>
        <v>0</v>
      </c>
      <c r="AN18" s="100">
        <f t="shared" si="26"/>
        <v>0</v>
      </c>
      <c r="AO18" s="118">
        <f t="shared" si="27"/>
        <v>0</v>
      </c>
      <c r="AP18" s="98">
        <f t="shared" si="28"/>
        <v>0</v>
      </c>
      <c r="AQ18" s="98">
        <f t="shared" si="29"/>
        <v>0</v>
      </c>
      <c r="AR18" s="98">
        <f t="shared" si="30"/>
        <v>0</v>
      </c>
      <c r="AS18" s="98">
        <f t="shared" si="31"/>
        <v>0</v>
      </c>
      <c r="AT18" s="98">
        <f t="shared" si="32"/>
        <v>0</v>
      </c>
      <c r="AU18" s="98">
        <f t="shared" si="33"/>
        <v>0</v>
      </c>
      <c r="AV18" s="98">
        <f t="shared" si="34"/>
        <v>0</v>
      </c>
      <c r="AW18" s="98">
        <f t="shared" si="35"/>
        <v>0</v>
      </c>
      <c r="AX18" s="98">
        <f t="shared" si="36"/>
        <v>0</v>
      </c>
      <c r="AY18" s="98">
        <f t="shared" si="37"/>
        <v>0</v>
      </c>
      <c r="AZ18" s="98">
        <f t="shared" si="38"/>
        <v>0</v>
      </c>
      <c r="BA18" s="98">
        <f t="shared" si="39"/>
        <v>0</v>
      </c>
      <c r="BB18" s="98">
        <f t="shared" si="40"/>
        <v>0</v>
      </c>
      <c r="BC18" s="98">
        <f t="shared" si="41"/>
        <v>0</v>
      </c>
      <c r="BD18" s="98">
        <f t="shared" si="42"/>
        <v>0</v>
      </c>
      <c r="BE18" s="98">
        <f t="shared" si="43"/>
        <v>0</v>
      </c>
      <c r="BF18" s="98">
        <f t="shared" si="44"/>
        <v>0</v>
      </c>
      <c r="BG18" s="98">
        <f t="shared" si="45"/>
        <v>0</v>
      </c>
      <c r="BH18" s="100">
        <f t="shared" si="46"/>
        <v>0</v>
      </c>
    </row>
    <row r="19" spans="2:60" ht="14.5" customHeight="1">
      <c r="B19" s="130"/>
      <c r="C19" s="96"/>
      <c r="D19" s="97" t="str" cm="1">
        <f t="array" ref="D19">IFERROR(_xlfn.TEXTJOIN("", TRUE, MID(C19, _xlfn.SEQUENCE(LEN(C19), 1, LEN(C19), -1), 1)),"")</f>
        <v/>
      </c>
      <c r="E19" s="99"/>
      <c r="F19" s="95">
        <f>SUMPRODUCT($Y19:$AN19,Calc!$BO$5:$CD$5)-SUMPRODUCT(Calc!$U19:$X19,Calc!$BK$5:$BN$5)</f>
        <v>0</v>
      </c>
      <c r="G19" s="122" t="str">
        <f t="shared" si="1"/>
        <v/>
      </c>
      <c r="H19" s="120" t="e">
        <f t="shared" si="2"/>
        <v>#VALUE!</v>
      </c>
      <c r="I19" s="100">
        <f>SUMPRODUCT($Q19:$T19,Calc!$BK$10:$BN$10)-62.03</f>
        <v>-62.03</v>
      </c>
      <c r="J19" s="95" t="e">
        <f>(1-(0.287*($Q19+$T19)+0.059*($R19+$S19))/(SUM($Q19:$T19)))*(SUMPRODUCT(Calc!$Y19:$AN19,Calc!$BO$5:$CD$5)-SUMPRODUCT($U19:$X19,Calc!$BK$5:$BN$5)+SUMPRODUCT($AS19:$BH19,Calc!$BO$5:$CD$5)-SUMPRODUCT(Calc!$AO19:$AR19,Calc!$BK$5:$BN$5))</f>
        <v>#DIV/0!</v>
      </c>
      <c r="K19" s="120" t="str">
        <f t="shared" si="3"/>
        <v/>
      </c>
      <c r="L19" s="120" t="e">
        <f t="shared" si="4"/>
        <v>#VALUE!</v>
      </c>
      <c r="M19" s="100">
        <f>SUMPRODUCT($Q19:$T19,Calc!$BK$11:$BN$11)-79.2*2+17.01*2</f>
        <v>-124.38</v>
      </c>
      <c r="N19" s="125">
        <f>1000*SUMPRODUCT($Y19:$AN19,Calc!$BO$6:$CD$6)/(-10.8+SUMPRODUCT($Y19:$AN19,Calc!$BO$7:$CD$7)+1.987*LN($O$3*POWER(10,-6)/4))-273.15+16.6*LOG10($N$3*POWER(10,-3))</f>
        <v>-294.74709792802207</v>
      </c>
      <c r="O19" s="127">
        <f t="shared" si="0"/>
        <v>0</v>
      </c>
      <c r="P19" s="135" t="e">
        <f t="shared" si="5"/>
        <v>#DIV/0!</v>
      </c>
      <c r="Q19" s="118">
        <f t="shared" si="6"/>
        <v>0</v>
      </c>
      <c r="R19" s="98">
        <f t="shared" si="6"/>
        <v>0</v>
      </c>
      <c r="S19" s="98">
        <f t="shared" si="6"/>
        <v>0</v>
      </c>
      <c r="T19" s="98">
        <f t="shared" si="6"/>
        <v>0</v>
      </c>
      <c r="U19" s="98">
        <f t="shared" si="7"/>
        <v>0</v>
      </c>
      <c r="V19" s="98">
        <f t="shared" si="8"/>
        <v>0</v>
      </c>
      <c r="W19" s="98">
        <f t="shared" si="9"/>
        <v>0</v>
      </c>
      <c r="X19" s="98">
        <f t="shared" si="10"/>
        <v>0</v>
      </c>
      <c r="Y19" s="98">
        <f t="shared" si="11"/>
        <v>0</v>
      </c>
      <c r="Z19" s="98">
        <f t="shared" si="12"/>
        <v>0</v>
      </c>
      <c r="AA19" s="98">
        <f t="shared" si="13"/>
        <v>0</v>
      </c>
      <c r="AB19" s="98">
        <f t="shared" si="14"/>
        <v>0</v>
      </c>
      <c r="AC19" s="98">
        <f t="shared" si="15"/>
        <v>0</v>
      </c>
      <c r="AD19" s="98">
        <f t="shared" si="16"/>
        <v>0</v>
      </c>
      <c r="AE19" s="98">
        <f t="shared" si="17"/>
        <v>0</v>
      </c>
      <c r="AF19" s="98">
        <f t="shared" si="18"/>
        <v>0</v>
      </c>
      <c r="AG19" s="98">
        <f t="shared" si="19"/>
        <v>0</v>
      </c>
      <c r="AH19" s="98">
        <f t="shared" si="20"/>
        <v>0</v>
      </c>
      <c r="AI19" s="98">
        <f t="shared" si="21"/>
        <v>0</v>
      </c>
      <c r="AJ19" s="98">
        <f t="shared" si="22"/>
        <v>0</v>
      </c>
      <c r="AK19" s="98">
        <f t="shared" si="23"/>
        <v>0</v>
      </c>
      <c r="AL19" s="98">
        <f t="shared" si="24"/>
        <v>0</v>
      </c>
      <c r="AM19" s="98">
        <f t="shared" si="25"/>
        <v>0</v>
      </c>
      <c r="AN19" s="100">
        <f t="shared" si="26"/>
        <v>0</v>
      </c>
      <c r="AO19" s="118">
        <f t="shared" si="27"/>
        <v>0</v>
      </c>
      <c r="AP19" s="98">
        <f t="shared" si="28"/>
        <v>0</v>
      </c>
      <c r="AQ19" s="98">
        <f t="shared" si="29"/>
        <v>0</v>
      </c>
      <c r="AR19" s="98">
        <f t="shared" si="30"/>
        <v>0</v>
      </c>
      <c r="AS19" s="98">
        <f t="shared" si="31"/>
        <v>0</v>
      </c>
      <c r="AT19" s="98">
        <f t="shared" si="32"/>
        <v>0</v>
      </c>
      <c r="AU19" s="98">
        <f t="shared" si="33"/>
        <v>0</v>
      </c>
      <c r="AV19" s="98">
        <f t="shared" si="34"/>
        <v>0</v>
      </c>
      <c r="AW19" s="98">
        <f t="shared" si="35"/>
        <v>0</v>
      </c>
      <c r="AX19" s="98">
        <f t="shared" si="36"/>
        <v>0</v>
      </c>
      <c r="AY19" s="98">
        <f t="shared" si="37"/>
        <v>0</v>
      </c>
      <c r="AZ19" s="98">
        <f t="shared" si="38"/>
        <v>0</v>
      </c>
      <c r="BA19" s="98">
        <f t="shared" si="39"/>
        <v>0</v>
      </c>
      <c r="BB19" s="98">
        <f t="shared" si="40"/>
        <v>0</v>
      </c>
      <c r="BC19" s="98">
        <f t="shared" si="41"/>
        <v>0</v>
      </c>
      <c r="BD19" s="98">
        <f t="shared" si="42"/>
        <v>0</v>
      </c>
      <c r="BE19" s="98">
        <f t="shared" si="43"/>
        <v>0</v>
      </c>
      <c r="BF19" s="98">
        <f t="shared" si="44"/>
        <v>0</v>
      </c>
      <c r="BG19" s="98">
        <f t="shared" si="45"/>
        <v>0</v>
      </c>
      <c r="BH19" s="100">
        <f t="shared" si="46"/>
        <v>0</v>
      </c>
    </row>
    <row r="20" spans="2:60" ht="14.5" customHeight="1">
      <c r="B20" s="130"/>
      <c r="C20" s="96"/>
      <c r="D20" s="97" t="str" cm="1">
        <f t="array" ref="D20">IFERROR(_xlfn.TEXTJOIN("", TRUE, MID(C20, _xlfn.SEQUENCE(LEN(C20), 1, LEN(C20), -1), 1)),"")</f>
        <v/>
      </c>
      <c r="E20" s="99"/>
      <c r="F20" s="95">
        <f>SUMPRODUCT($Y20:$AN20,Calc!$BO$5:$CD$5)-SUMPRODUCT(Calc!$U20:$X20,Calc!$BK$5:$BN$5)</f>
        <v>0</v>
      </c>
      <c r="G20" s="122" t="str">
        <f t="shared" si="1"/>
        <v/>
      </c>
      <c r="H20" s="120" t="e">
        <f t="shared" si="2"/>
        <v>#VALUE!</v>
      </c>
      <c r="I20" s="100">
        <f>SUMPRODUCT($Q20:$T20,Calc!$BK$10:$BN$10)-62.03</f>
        <v>-62.03</v>
      </c>
      <c r="J20" s="95" t="e">
        <f>(1-(0.287*($Q20+$T20)+0.059*($R20+$S20))/(SUM($Q20:$T20)))*(SUMPRODUCT(Calc!$Y20:$AN20,Calc!$BO$5:$CD$5)-SUMPRODUCT($U20:$X20,Calc!$BK$5:$BN$5)+SUMPRODUCT($AS20:$BH20,Calc!$BO$5:$CD$5)-SUMPRODUCT(Calc!$AO20:$AR20,Calc!$BK$5:$BN$5))</f>
        <v>#DIV/0!</v>
      </c>
      <c r="K20" s="120" t="str">
        <f t="shared" si="3"/>
        <v/>
      </c>
      <c r="L20" s="120" t="e">
        <f t="shared" si="4"/>
        <v>#VALUE!</v>
      </c>
      <c r="M20" s="100">
        <f>SUMPRODUCT($Q20:$T20,Calc!$BK$11:$BN$11)-79.2*2+17.01*2</f>
        <v>-124.38</v>
      </c>
      <c r="N20" s="125">
        <f>1000*SUMPRODUCT($Y20:$AN20,Calc!$BO$6:$CD$6)/(-10.8+SUMPRODUCT($Y20:$AN20,Calc!$BO$7:$CD$7)+1.987*LN($O$3*POWER(10,-6)/4))-273.15+16.6*LOG10($N$3*POWER(10,-3))</f>
        <v>-294.74709792802207</v>
      </c>
      <c r="O20" s="127">
        <f t="shared" si="0"/>
        <v>0</v>
      </c>
      <c r="P20" s="135" t="e">
        <f t="shared" si="5"/>
        <v>#DIV/0!</v>
      </c>
      <c r="Q20" s="118">
        <f t="shared" si="6"/>
        <v>0</v>
      </c>
      <c r="R20" s="98">
        <f t="shared" si="6"/>
        <v>0</v>
      </c>
      <c r="S20" s="98">
        <f t="shared" si="6"/>
        <v>0</v>
      </c>
      <c r="T20" s="98">
        <f t="shared" si="6"/>
        <v>0</v>
      </c>
      <c r="U20" s="98">
        <f t="shared" si="7"/>
        <v>0</v>
      </c>
      <c r="V20" s="98">
        <f t="shared" si="8"/>
        <v>0</v>
      </c>
      <c r="W20" s="98">
        <f t="shared" si="9"/>
        <v>0</v>
      </c>
      <c r="X20" s="98">
        <f t="shared" si="10"/>
        <v>0</v>
      </c>
      <c r="Y20" s="98">
        <f t="shared" si="11"/>
        <v>0</v>
      </c>
      <c r="Z20" s="98">
        <f t="shared" si="12"/>
        <v>0</v>
      </c>
      <c r="AA20" s="98">
        <f t="shared" si="13"/>
        <v>0</v>
      </c>
      <c r="AB20" s="98">
        <f t="shared" si="14"/>
        <v>0</v>
      </c>
      <c r="AC20" s="98">
        <f t="shared" si="15"/>
        <v>0</v>
      </c>
      <c r="AD20" s="98">
        <f t="shared" si="16"/>
        <v>0</v>
      </c>
      <c r="AE20" s="98">
        <f t="shared" si="17"/>
        <v>0</v>
      </c>
      <c r="AF20" s="98">
        <f t="shared" si="18"/>
        <v>0</v>
      </c>
      <c r="AG20" s="98">
        <f t="shared" si="19"/>
        <v>0</v>
      </c>
      <c r="AH20" s="98">
        <f t="shared" si="20"/>
        <v>0</v>
      </c>
      <c r="AI20" s="98">
        <f t="shared" si="21"/>
        <v>0</v>
      </c>
      <c r="AJ20" s="98">
        <f t="shared" si="22"/>
        <v>0</v>
      </c>
      <c r="AK20" s="98">
        <f t="shared" si="23"/>
        <v>0</v>
      </c>
      <c r="AL20" s="98">
        <f t="shared" si="24"/>
        <v>0</v>
      </c>
      <c r="AM20" s="98">
        <f t="shared" si="25"/>
        <v>0</v>
      </c>
      <c r="AN20" s="100">
        <f t="shared" si="26"/>
        <v>0</v>
      </c>
      <c r="AO20" s="118">
        <f t="shared" si="27"/>
        <v>0</v>
      </c>
      <c r="AP20" s="98">
        <f t="shared" si="28"/>
        <v>0</v>
      </c>
      <c r="AQ20" s="98">
        <f t="shared" si="29"/>
        <v>0</v>
      </c>
      <c r="AR20" s="98">
        <f t="shared" si="30"/>
        <v>0</v>
      </c>
      <c r="AS20" s="98">
        <f t="shared" si="31"/>
        <v>0</v>
      </c>
      <c r="AT20" s="98">
        <f t="shared" si="32"/>
        <v>0</v>
      </c>
      <c r="AU20" s="98">
        <f t="shared" si="33"/>
        <v>0</v>
      </c>
      <c r="AV20" s="98">
        <f t="shared" si="34"/>
        <v>0</v>
      </c>
      <c r="AW20" s="98">
        <f t="shared" si="35"/>
        <v>0</v>
      </c>
      <c r="AX20" s="98">
        <f t="shared" si="36"/>
        <v>0</v>
      </c>
      <c r="AY20" s="98">
        <f t="shared" si="37"/>
        <v>0</v>
      </c>
      <c r="AZ20" s="98">
        <f t="shared" si="38"/>
        <v>0</v>
      </c>
      <c r="BA20" s="98">
        <f t="shared" si="39"/>
        <v>0</v>
      </c>
      <c r="BB20" s="98">
        <f t="shared" si="40"/>
        <v>0</v>
      </c>
      <c r="BC20" s="98">
        <f t="shared" si="41"/>
        <v>0</v>
      </c>
      <c r="BD20" s="98">
        <f t="shared" si="42"/>
        <v>0</v>
      </c>
      <c r="BE20" s="98">
        <f t="shared" si="43"/>
        <v>0</v>
      </c>
      <c r="BF20" s="98">
        <f t="shared" si="44"/>
        <v>0</v>
      </c>
      <c r="BG20" s="98">
        <f t="shared" si="45"/>
        <v>0</v>
      </c>
      <c r="BH20" s="100">
        <f t="shared" si="46"/>
        <v>0</v>
      </c>
    </row>
    <row r="21" spans="2:60" ht="14.5" customHeight="1">
      <c r="B21" s="130"/>
      <c r="C21" s="96"/>
      <c r="D21" s="97" t="str" cm="1">
        <f t="array" ref="D21">IFERROR(_xlfn.TEXTJOIN("", TRUE, MID(C21, _xlfn.SEQUENCE(LEN(C21), 1, LEN(C21), -1), 1)),"")</f>
        <v/>
      </c>
      <c r="E21" s="99"/>
      <c r="F21" s="95">
        <f>SUMPRODUCT($Y21:$AN21,Calc!$BO$5:$CD$5)-SUMPRODUCT(Calc!$U21:$X21,Calc!$BK$5:$BN$5)</f>
        <v>0</v>
      </c>
      <c r="G21" s="122" t="str">
        <f t="shared" si="1"/>
        <v/>
      </c>
      <c r="H21" s="120" t="e">
        <f t="shared" si="2"/>
        <v>#VALUE!</v>
      </c>
      <c r="I21" s="100">
        <f>SUMPRODUCT($Q21:$T21,Calc!$BK$10:$BN$10)-62.03</f>
        <v>-62.03</v>
      </c>
      <c r="J21" s="95" t="e">
        <f>(1-(0.287*($Q21+$T21)+0.059*($R21+$S21))/(SUM($Q21:$T21)))*(SUMPRODUCT(Calc!$Y21:$AN21,Calc!$BO$5:$CD$5)-SUMPRODUCT($U21:$X21,Calc!$BK$5:$BN$5)+SUMPRODUCT($AS21:$BH21,Calc!$BO$5:$CD$5)-SUMPRODUCT(Calc!$AO21:$AR21,Calc!$BK$5:$BN$5))</f>
        <v>#DIV/0!</v>
      </c>
      <c r="K21" s="120" t="str">
        <f t="shared" si="3"/>
        <v/>
      </c>
      <c r="L21" s="120" t="e">
        <f t="shared" si="4"/>
        <v>#VALUE!</v>
      </c>
      <c r="M21" s="100">
        <f>SUMPRODUCT($Q21:$T21,Calc!$BK$11:$BN$11)-79.2*2+17.01*2</f>
        <v>-124.38</v>
      </c>
      <c r="N21" s="125">
        <f>1000*SUMPRODUCT($Y21:$AN21,Calc!$BO$6:$CD$6)/(-10.8+SUMPRODUCT($Y21:$AN21,Calc!$BO$7:$CD$7)+1.987*LN($O$3*POWER(10,-6)/4))-273.15+16.6*LOG10($N$3*POWER(10,-3))</f>
        <v>-294.74709792802207</v>
      </c>
      <c r="O21" s="127">
        <f t="shared" si="0"/>
        <v>0</v>
      </c>
      <c r="P21" s="135" t="e">
        <f t="shared" si="5"/>
        <v>#DIV/0!</v>
      </c>
      <c r="Q21" s="118">
        <f t="shared" si="6"/>
        <v>0</v>
      </c>
      <c r="R21" s="98">
        <f t="shared" si="6"/>
        <v>0</v>
      </c>
      <c r="S21" s="98">
        <f t="shared" si="6"/>
        <v>0</v>
      </c>
      <c r="T21" s="98">
        <f t="shared" si="6"/>
        <v>0</v>
      </c>
      <c r="U21" s="98">
        <f t="shared" si="7"/>
        <v>0</v>
      </c>
      <c r="V21" s="98">
        <f t="shared" si="8"/>
        <v>0</v>
      </c>
      <c r="W21" s="98">
        <f t="shared" si="9"/>
        <v>0</v>
      </c>
      <c r="X21" s="98">
        <f t="shared" si="10"/>
        <v>0</v>
      </c>
      <c r="Y21" s="98">
        <f t="shared" si="11"/>
        <v>0</v>
      </c>
      <c r="Z21" s="98">
        <f t="shared" si="12"/>
        <v>0</v>
      </c>
      <c r="AA21" s="98">
        <f t="shared" si="13"/>
        <v>0</v>
      </c>
      <c r="AB21" s="98">
        <f t="shared" si="14"/>
        <v>0</v>
      </c>
      <c r="AC21" s="98">
        <f t="shared" si="15"/>
        <v>0</v>
      </c>
      <c r="AD21" s="98">
        <f t="shared" si="16"/>
        <v>0</v>
      </c>
      <c r="AE21" s="98">
        <f t="shared" si="17"/>
        <v>0</v>
      </c>
      <c r="AF21" s="98">
        <f t="shared" si="18"/>
        <v>0</v>
      </c>
      <c r="AG21" s="98">
        <f t="shared" si="19"/>
        <v>0</v>
      </c>
      <c r="AH21" s="98">
        <f t="shared" si="20"/>
        <v>0</v>
      </c>
      <c r="AI21" s="98">
        <f t="shared" si="21"/>
        <v>0</v>
      </c>
      <c r="AJ21" s="98">
        <f t="shared" si="22"/>
        <v>0</v>
      </c>
      <c r="AK21" s="98">
        <f t="shared" si="23"/>
        <v>0</v>
      </c>
      <c r="AL21" s="98">
        <f t="shared" si="24"/>
        <v>0</v>
      </c>
      <c r="AM21" s="98">
        <f t="shared" si="25"/>
        <v>0</v>
      </c>
      <c r="AN21" s="100">
        <f t="shared" si="26"/>
        <v>0</v>
      </c>
      <c r="AO21" s="118">
        <f t="shared" si="27"/>
        <v>0</v>
      </c>
      <c r="AP21" s="98">
        <f t="shared" si="28"/>
        <v>0</v>
      </c>
      <c r="AQ21" s="98">
        <f t="shared" si="29"/>
        <v>0</v>
      </c>
      <c r="AR21" s="98">
        <f t="shared" si="30"/>
        <v>0</v>
      </c>
      <c r="AS21" s="98">
        <f t="shared" si="31"/>
        <v>0</v>
      </c>
      <c r="AT21" s="98">
        <f t="shared" si="32"/>
        <v>0</v>
      </c>
      <c r="AU21" s="98">
        <f t="shared" si="33"/>
        <v>0</v>
      </c>
      <c r="AV21" s="98">
        <f t="shared" si="34"/>
        <v>0</v>
      </c>
      <c r="AW21" s="98">
        <f t="shared" si="35"/>
        <v>0</v>
      </c>
      <c r="AX21" s="98">
        <f t="shared" si="36"/>
        <v>0</v>
      </c>
      <c r="AY21" s="98">
        <f t="shared" si="37"/>
        <v>0</v>
      </c>
      <c r="AZ21" s="98">
        <f t="shared" si="38"/>
        <v>0</v>
      </c>
      <c r="BA21" s="98">
        <f t="shared" si="39"/>
        <v>0</v>
      </c>
      <c r="BB21" s="98">
        <f t="shared" si="40"/>
        <v>0</v>
      </c>
      <c r="BC21" s="98">
        <f t="shared" si="41"/>
        <v>0</v>
      </c>
      <c r="BD21" s="98">
        <f t="shared" si="42"/>
        <v>0</v>
      </c>
      <c r="BE21" s="98">
        <f t="shared" si="43"/>
        <v>0</v>
      </c>
      <c r="BF21" s="98">
        <f t="shared" si="44"/>
        <v>0</v>
      </c>
      <c r="BG21" s="98">
        <f t="shared" si="45"/>
        <v>0</v>
      </c>
      <c r="BH21" s="100">
        <f t="shared" si="46"/>
        <v>0</v>
      </c>
    </row>
    <row r="22" spans="2:60" ht="14.5" customHeight="1">
      <c r="B22" s="130"/>
      <c r="C22" s="96"/>
      <c r="D22" s="97" t="str" cm="1">
        <f t="array" ref="D22">IFERROR(_xlfn.TEXTJOIN("", TRUE, MID(C22, _xlfn.SEQUENCE(LEN(C22), 1, LEN(C22), -1), 1)),"")</f>
        <v/>
      </c>
      <c r="E22" s="99"/>
      <c r="F22" s="95">
        <f>SUMPRODUCT($Y22:$AN22,Calc!$BO$5:$CD$5)-SUMPRODUCT(Calc!$U22:$X22,Calc!$BK$5:$BN$5)</f>
        <v>0</v>
      </c>
      <c r="G22" s="122" t="str">
        <f t="shared" si="1"/>
        <v/>
      </c>
      <c r="H22" s="120" t="e">
        <f t="shared" si="2"/>
        <v>#VALUE!</v>
      </c>
      <c r="I22" s="100">
        <f>SUMPRODUCT($Q22:$T22,Calc!$BK$10:$BN$10)-62.03</f>
        <v>-62.03</v>
      </c>
      <c r="J22" s="95" t="e">
        <f>(1-(0.287*($Q22+$T22)+0.059*($R22+$S22))/(SUM($Q22:$T22)))*(SUMPRODUCT(Calc!$Y22:$AN22,Calc!$BO$5:$CD$5)-SUMPRODUCT($U22:$X22,Calc!$BK$5:$BN$5)+SUMPRODUCT($AS22:$BH22,Calc!$BO$5:$CD$5)-SUMPRODUCT(Calc!$AO22:$AR22,Calc!$BK$5:$BN$5))</f>
        <v>#DIV/0!</v>
      </c>
      <c r="K22" s="120" t="str">
        <f t="shared" si="3"/>
        <v/>
      </c>
      <c r="L22" s="120" t="e">
        <f t="shared" si="4"/>
        <v>#VALUE!</v>
      </c>
      <c r="M22" s="100">
        <f>SUMPRODUCT($Q22:$T22,Calc!$BK$11:$BN$11)-79.2*2+17.01*2</f>
        <v>-124.38</v>
      </c>
      <c r="N22" s="125">
        <f>1000*SUMPRODUCT($Y22:$AN22,Calc!$BO$6:$CD$6)/(-10.8+SUMPRODUCT($Y22:$AN22,Calc!$BO$7:$CD$7)+1.987*LN($O$3*POWER(10,-6)/4))-273.15+16.6*LOG10($N$3*POWER(10,-3))</f>
        <v>-294.74709792802207</v>
      </c>
      <c r="O22" s="127">
        <f t="shared" si="0"/>
        <v>0</v>
      </c>
      <c r="P22" s="135" t="e">
        <f t="shared" si="5"/>
        <v>#DIV/0!</v>
      </c>
      <c r="Q22" s="118">
        <f t="shared" si="6"/>
        <v>0</v>
      </c>
      <c r="R22" s="98">
        <f t="shared" si="6"/>
        <v>0</v>
      </c>
      <c r="S22" s="98">
        <f t="shared" si="6"/>
        <v>0</v>
      </c>
      <c r="T22" s="98">
        <f t="shared" si="6"/>
        <v>0</v>
      </c>
      <c r="U22" s="98">
        <f t="shared" si="7"/>
        <v>0</v>
      </c>
      <c r="V22" s="98">
        <f t="shared" si="8"/>
        <v>0</v>
      </c>
      <c r="W22" s="98">
        <f t="shared" si="9"/>
        <v>0</v>
      </c>
      <c r="X22" s="98">
        <f t="shared" si="10"/>
        <v>0</v>
      </c>
      <c r="Y22" s="98">
        <f t="shared" si="11"/>
        <v>0</v>
      </c>
      <c r="Z22" s="98">
        <f t="shared" si="12"/>
        <v>0</v>
      </c>
      <c r="AA22" s="98">
        <f t="shared" si="13"/>
        <v>0</v>
      </c>
      <c r="AB22" s="98">
        <f t="shared" si="14"/>
        <v>0</v>
      </c>
      <c r="AC22" s="98">
        <f t="shared" si="15"/>
        <v>0</v>
      </c>
      <c r="AD22" s="98">
        <f t="shared" si="16"/>
        <v>0</v>
      </c>
      <c r="AE22" s="98">
        <f t="shared" si="17"/>
        <v>0</v>
      </c>
      <c r="AF22" s="98">
        <f t="shared" si="18"/>
        <v>0</v>
      </c>
      <c r="AG22" s="98">
        <f t="shared" si="19"/>
        <v>0</v>
      </c>
      <c r="AH22" s="98">
        <f t="shared" si="20"/>
        <v>0</v>
      </c>
      <c r="AI22" s="98">
        <f t="shared" si="21"/>
        <v>0</v>
      </c>
      <c r="AJ22" s="98">
        <f t="shared" si="22"/>
        <v>0</v>
      </c>
      <c r="AK22" s="98">
        <f t="shared" si="23"/>
        <v>0</v>
      </c>
      <c r="AL22" s="98">
        <f t="shared" si="24"/>
        <v>0</v>
      </c>
      <c r="AM22" s="98">
        <f t="shared" si="25"/>
        <v>0</v>
      </c>
      <c r="AN22" s="100">
        <f t="shared" si="26"/>
        <v>0</v>
      </c>
      <c r="AO22" s="118">
        <f t="shared" si="27"/>
        <v>0</v>
      </c>
      <c r="AP22" s="98">
        <f t="shared" si="28"/>
        <v>0</v>
      </c>
      <c r="AQ22" s="98">
        <f t="shared" si="29"/>
        <v>0</v>
      </c>
      <c r="AR22" s="98">
        <f t="shared" si="30"/>
        <v>0</v>
      </c>
      <c r="AS22" s="98">
        <f t="shared" si="31"/>
        <v>0</v>
      </c>
      <c r="AT22" s="98">
        <f t="shared" si="32"/>
        <v>0</v>
      </c>
      <c r="AU22" s="98">
        <f t="shared" si="33"/>
        <v>0</v>
      </c>
      <c r="AV22" s="98">
        <f t="shared" si="34"/>
        <v>0</v>
      </c>
      <c r="AW22" s="98">
        <f t="shared" si="35"/>
        <v>0</v>
      </c>
      <c r="AX22" s="98">
        <f t="shared" si="36"/>
        <v>0</v>
      </c>
      <c r="AY22" s="98">
        <f t="shared" si="37"/>
        <v>0</v>
      </c>
      <c r="AZ22" s="98">
        <f t="shared" si="38"/>
        <v>0</v>
      </c>
      <c r="BA22" s="98">
        <f t="shared" si="39"/>
        <v>0</v>
      </c>
      <c r="BB22" s="98">
        <f t="shared" si="40"/>
        <v>0</v>
      </c>
      <c r="BC22" s="98">
        <f t="shared" si="41"/>
        <v>0</v>
      </c>
      <c r="BD22" s="98">
        <f t="shared" si="42"/>
        <v>0</v>
      </c>
      <c r="BE22" s="98">
        <f t="shared" si="43"/>
        <v>0</v>
      </c>
      <c r="BF22" s="98">
        <f t="shared" si="44"/>
        <v>0</v>
      </c>
      <c r="BG22" s="98">
        <f t="shared" si="45"/>
        <v>0</v>
      </c>
      <c r="BH22" s="100">
        <f t="shared" si="46"/>
        <v>0</v>
      </c>
    </row>
    <row r="23" spans="2:60" ht="14.5" customHeight="1">
      <c r="B23" s="130"/>
      <c r="C23" s="96"/>
      <c r="D23" s="97" t="str" cm="1">
        <f t="array" ref="D23">IFERROR(_xlfn.TEXTJOIN("", TRUE, MID(C23, _xlfn.SEQUENCE(LEN(C23), 1, LEN(C23), -1), 1)),"")</f>
        <v/>
      </c>
      <c r="E23" s="99"/>
      <c r="F23" s="95">
        <f>SUMPRODUCT($Y23:$AN23,Calc!$BO$5:$CD$5)-SUMPRODUCT(Calc!$U23:$X23,Calc!$BK$5:$BN$5)</f>
        <v>0</v>
      </c>
      <c r="G23" s="122" t="str">
        <f t="shared" si="1"/>
        <v/>
      </c>
      <c r="H23" s="120" t="e">
        <f t="shared" si="2"/>
        <v>#VALUE!</v>
      </c>
      <c r="I23" s="100">
        <f>SUMPRODUCT($Q23:$T23,Calc!$BK$10:$BN$10)-62.03</f>
        <v>-62.03</v>
      </c>
      <c r="J23" s="95" t="e">
        <f>(1-(0.287*($Q23+$T23)+0.059*($R23+$S23))/(SUM($Q23:$T23)))*(SUMPRODUCT(Calc!$Y23:$AN23,Calc!$BO$5:$CD$5)-SUMPRODUCT($U23:$X23,Calc!$BK$5:$BN$5)+SUMPRODUCT($AS23:$BH23,Calc!$BO$5:$CD$5)-SUMPRODUCT(Calc!$AO23:$AR23,Calc!$BK$5:$BN$5))</f>
        <v>#DIV/0!</v>
      </c>
      <c r="K23" s="120" t="str">
        <f t="shared" si="3"/>
        <v/>
      </c>
      <c r="L23" s="120" t="e">
        <f t="shared" si="4"/>
        <v>#VALUE!</v>
      </c>
      <c r="M23" s="100">
        <f>SUMPRODUCT($Q23:$T23,Calc!$BK$11:$BN$11)-79.2*2+17.01*2</f>
        <v>-124.38</v>
      </c>
      <c r="N23" s="125">
        <f>1000*SUMPRODUCT($Y23:$AN23,Calc!$BO$6:$CD$6)/(-10.8+SUMPRODUCT($Y23:$AN23,Calc!$BO$7:$CD$7)+1.987*LN($O$3*POWER(10,-6)/4))-273.15+16.6*LOG10($N$3*POWER(10,-3))</f>
        <v>-294.74709792802207</v>
      </c>
      <c r="O23" s="127">
        <f t="shared" si="0"/>
        <v>0</v>
      </c>
      <c r="P23" s="135" t="e">
        <f t="shared" si="5"/>
        <v>#DIV/0!</v>
      </c>
      <c r="Q23" s="118">
        <f t="shared" si="6"/>
        <v>0</v>
      </c>
      <c r="R23" s="98">
        <f t="shared" si="6"/>
        <v>0</v>
      </c>
      <c r="S23" s="98">
        <f t="shared" si="6"/>
        <v>0</v>
      </c>
      <c r="T23" s="98">
        <f t="shared" si="6"/>
        <v>0</v>
      </c>
      <c r="U23" s="98">
        <f t="shared" si="7"/>
        <v>0</v>
      </c>
      <c r="V23" s="98">
        <f t="shared" si="8"/>
        <v>0</v>
      </c>
      <c r="W23" s="98">
        <f t="shared" si="9"/>
        <v>0</v>
      </c>
      <c r="X23" s="98">
        <f t="shared" si="10"/>
        <v>0</v>
      </c>
      <c r="Y23" s="98">
        <f t="shared" si="11"/>
        <v>0</v>
      </c>
      <c r="Z23" s="98">
        <f t="shared" si="12"/>
        <v>0</v>
      </c>
      <c r="AA23" s="98">
        <f t="shared" si="13"/>
        <v>0</v>
      </c>
      <c r="AB23" s="98">
        <f t="shared" si="14"/>
        <v>0</v>
      </c>
      <c r="AC23" s="98">
        <f t="shared" si="15"/>
        <v>0</v>
      </c>
      <c r="AD23" s="98">
        <f t="shared" si="16"/>
        <v>0</v>
      </c>
      <c r="AE23" s="98">
        <f t="shared" si="17"/>
        <v>0</v>
      </c>
      <c r="AF23" s="98">
        <f t="shared" si="18"/>
        <v>0</v>
      </c>
      <c r="AG23" s="98">
        <f t="shared" si="19"/>
        <v>0</v>
      </c>
      <c r="AH23" s="98">
        <f t="shared" si="20"/>
        <v>0</v>
      </c>
      <c r="AI23" s="98">
        <f t="shared" si="21"/>
        <v>0</v>
      </c>
      <c r="AJ23" s="98">
        <f t="shared" si="22"/>
        <v>0</v>
      </c>
      <c r="AK23" s="98">
        <f t="shared" si="23"/>
        <v>0</v>
      </c>
      <c r="AL23" s="98">
        <f t="shared" si="24"/>
        <v>0</v>
      </c>
      <c r="AM23" s="98">
        <f t="shared" si="25"/>
        <v>0</v>
      </c>
      <c r="AN23" s="100">
        <f t="shared" si="26"/>
        <v>0</v>
      </c>
      <c r="AO23" s="118">
        <f t="shared" si="27"/>
        <v>0</v>
      </c>
      <c r="AP23" s="98">
        <f t="shared" si="28"/>
        <v>0</v>
      </c>
      <c r="AQ23" s="98">
        <f t="shared" si="29"/>
        <v>0</v>
      </c>
      <c r="AR23" s="98">
        <f t="shared" si="30"/>
        <v>0</v>
      </c>
      <c r="AS23" s="98">
        <f t="shared" si="31"/>
        <v>0</v>
      </c>
      <c r="AT23" s="98">
        <f t="shared" si="32"/>
        <v>0</v>
      </c>
      <c r="AU23" s="98">
        <f t="shared" si="33"/>
        <v>0</v>
      </c>
      <c r="AV23" s="98">
        <f t="shared" si="34"/>
        <v>0</v>
      </c>
      <c r="AW23" s="98">
        <f t="shared" si="35"/>
        <v>0</v>
      </c>
      <c r="AX23" s="98">
        <f t="shared" si="36"/>
        <v>0</v>
      </c>
      <c r="AY23" s="98">
        <f t="shared" si="37"/>
        <v>0</v>
      </c>
      <c r="AZ23" s="98">
        <f t="shared" si="38"/>
        <v>0</v>
      </c>
      <c r="BA23" s="98">
        <f t="shared" si="39"/>
        <v>0</v>
      </c>
      <c r="BB23" s="98">
        <f t="shared" si="40"/>
        <v>0</v>
      </c>
      <c r="BC23" s="98">
        <f t="shared" si="41"/>
        <v>0</v>
      </c>
      <c r="BD23" s="98">
        <f t="shared" si="42"/>
        <v>0</v>
      </c>
      <c r="BE23" s="98">
        <f t="shared" si="43"/>
        <v>0</v>
      </c>
      <c r="BF23" s="98">
        <f t="shared" si="44"/>
        <v>0</v>
      </c>
      <c r="BG23" s="98">
        <f t="shared" si="45"/>
        <v>0</v>
      </c>
      <c r="BH23" s="100">
        <f t="shared" si="46"/>
        <v>0</v>
      </c>
    </row>
    <row r="24" spans="2:60" ht="14.5" customHeight="1">
      <c r="B24" s="130"/>
      <c r="C24" s="96"/>
      <c r="D24" s="97" t="str" cm="1">
        <f t="array" ref="D24">IFERROR(_xlfn.TEXTJOIN("", TRUE, MID(C24, _xlfn.SEQUENCE(LEN(C24), 1, LEN(C24), -1), 1)),"")</f>
        <v/>
      </c>
      <c r="E24" s="99"/>
      <c r="F24" s="95">
        <f>SUMPRODUCT($Y24:$AN24,Calc!$BO$5:$CD$5)-SUMPRODUCT(Calc!$U24:$X24,Calc!$BK$5:$BN$5)</f>
        <v>0</v>
      </c>
      <c r="G24" s="122" t="str">
        <f t="shared" si="1"/>
        <v/>
      </c>
      <c r="H24" s="120" t="e">
        <f t="shared" si="2"/>
        <v>#VALUE!</v>
      </c>
      <c r="I24" s="100">
        <f>SUMPRODUCT($Q24:$T24,Calc!$BK$10:$BN$10)-62.03</f>
        <v>-62.03</v>
      </c>
      <c r="J24" s="95" t="e">
        <f>(1-(0.287*($Q24+$T24)+0.059*($R24+$S24))/(SUM($Q24:$T24)))*(SUMPRODUCT(Calc!$Y24:$AN24,Calc!$BO$5:$CD$5)-SUMPRODUCT($U24:$X24,Calc!$BK$5:$BN$5)+SUMPRODUCT($AS24:$BH24,Calc!$BO$5:$CD$5)-SUMPRODUCT(Calc!$AO24:$AR24,Calc!$BK$5:$BN$5))</f>
        <v>#DIV/0!</v>
      </c>
      <c r="K24" s="120" t="str">
        <f t="shared" si="3"/>
        <v/>
      </c>
      <c r="L24" s="120" t="e">
        <f t="shared" si="4"/>
        <v>#VALUE!</v>
      </c>
      <c r="M24" s="100">
        <f>SUMPRODUCT($Q24:$T24,Calc!$BK$11:$BN$11)-79.2*2+17.01*2</f>
        <v>-124.38</v>
      </c>
      <c r="N24" s="125">
        <f>1000*SUMPRODUCT($Y24:$AN24,Calc!$BO$6:$CD$6)/(-10.8+SUMPRODUCT($Y24:$AN24,Calc!$BO$7:$CD$7)+1.987*LN($O$3*POWER(10,-6)/4))-273.15+16.6*LOG10($N$3*POWER(10,-3))</f>
        <v>-294.74709792802207</v>
      </c>
      <c r="O24" s="127">
        <f t="shared" si="0"/>
        <v>0</v>
      </c>
      <c r="P24" s="135" t="e">
        <f t="shared" si="5"/>
        <v>#DIV/0!</v>
      </c>
      <c r="Q24" s="118">
        <f t="shared" si="6"/>
        <v>0</v>
      </c>
      <c r="R24" s="98">
        <f t="shared" si="6"/>
        <v>0</v>
      </c>
      <c r="S24" s="98">
        <f t="shared" si="6"/>
        <v>0</v>
      </c>
      <c r="T24" s="98">
        <f t="shared" si="6"/>
        <v>0</v>
      </c>
      <c r="U24" s="98">
        <f t="shared" si="7"/>
        <v>0</v>
      </c>
      <c r="V24" s="98">
        <f t="shared" si="8"/>
        <v>0</v>
      </c>
      <c r="W24" s="98">
        <f t="shared" si="9"/>
        <v>0</v>
      </c>
      <c r="X24" s="98">
        <f t="shared" si="10"/>
        <v>0</v>
      </c>
      <c r="Y24" s="98">
        <f t="shared" si="11"/>
        <v>0</v>
      </c>
      <c r="Z24" s="98">
        <f t="shared" si="12"/>
        <v>0</v>
      </c>
      <c r="AA24" s="98">
        <f t="shared" si="13"/>
        <v>0</v>
      </c>
      <c r="AB24" s="98">
        <f t="shared" si="14"/>
        <v>0</v>
      </c>
      <c r="AC24" s="98">
        <f t="shared" si="15"/>
        <v>0</v>
      </c>
      <c r="AD24" s="98">
        <f t="shared" si="16"/>
        <v>0</v>
      </c>
      <c r="AE24" s="98">
        <f t="shared" si="17"/>
        <v>0</v>
      </c>
      <c r="AF24" s="98">
        <f t="shared" si="18"/>
        <v>0</v>
      </c>
      <c r="AG24" s="98">
        <f t="shared" si="19"/>
        <v>0</v>
      </c>
      <c r="AH24" s="98">
        <f t="shared" si="20"/>
        <v>0</v>
      </c>
      <c r="AI24" s="98">
        <f t="shared" si="21"/>
        <v>0</v>
      </c>
      <c r="AJ24" s="98">
        <f t="shared" si="22"/>
        <v>0</v>
      </c>
      <c r="AK24" s="98">
        <f t="shared" si="23"/>
        <v>0</v>
      </c>
      <c r="AL24" s="98">
        <f t="shared" si="24"/>
        <v>0</v>
      </c>
      <c r="AM24" s="98">
        <f t="shared" si="25"/>
        <v>0</v>
      </c>
      <c r="AN24" s="100">
        <f t="shared" si="26"/>
        <v>0</v>
      </c>
      <c r="AO24" s="118">
        <f t="shared" si="27"/>
        <v>0</v>
      </c>
      <c r="AP24" s="98">
        <f t="shared" si="28"/>
        <v>0</v>
      </c>
      <c r="AQ24" s="98">
        <f t="shared" si="29"/>
        <v>0</v>
      </c>
      <c r="AR24" s="98">
        <f t="shared" si="30"/>
        <v>0</v>
      </c>
      <c r="AS24" s="98">
        <f t="shared" si="31"/>
        <v>0</v>
      </c>
      <c r="AT24" s="98">
        <f t="shared" si="32"/>
        <v>0</v>
      </c>
      <c r="AU24" s="98">
        <f t="shared" si="33"/>
        <v>0</v>
      </c>
      <c r="AV24" s="98">
        <f t="shared" si="34"/>
        <v>0</v>
      </c>
      <c r="AW24" s="98">
        <f t="shared" si="35"/>
        <v>0</v>
      </c>
      <c r="AX24" s="98">
        <f t="shared" si="36"/>
        <v>0</v>
      </c>
      <c r="AY24" s="98">
        <f t="shared" si="37"/>
        <v>0</v>
      </c>
      <c r="AZ24" s="98">
        <f t="shared" si="38"/>
        <v>0</v>
      </c>
      <c r="BA24" s="98">
        <f t="shared" si="39"/>
        <v>0</v>
      </c>
      <c r="BB24" s="98">
        <f t="shared" si="40"/>
        <v>0</v>
      </c>
      <c r="BC24" s="98">
        <f t="shared" si="41"/>
        <v>0</v>
      </c>
      <c r="BD24" s="98">
        <f t="shared" si="42"/>
        <v>0</v>
      </c>
      <c r="BE24" s="98">
        <f t="shared" si="43"/>
        <v>0</v>
      </c>
      <c r="BF24" s="98">
        <f t="shared" si="44"/>
        <v>0</v>
      </c>
      <c r="BG24" s="98">
        <f t="shared" si="45"/>
        <v>0</v>
      </c>
      <c r="BH24" s="100">
        <f t="shared" si="46"/>
        <v>0</v>
      </c>
    </row>
    <row r="25" spans="2:60" ht="14.5" customHeight="1">
      <c r="B25" s="130"/>
      <c r="C25" s="96"/>
      <c r="D25" s="97" t="str" cm="1">
        <f t="array" ref="D25">IFERROR(_xlfn.TEXTJOIN("", TRUE, MID(C25, _xlfn.SEQUENCE(LEN(C25), 1, LEN(C25), -1), 1)),"")</f>
        <v/>
      </c>
      <c r="E25" s="99"/>
      <c r="F25" s="95">
        <f>SUMPRODUCT($Y25:$AN25,Calc!$BO$5:$CD$5)-SUMPRODUCT(Calc!$U25:$X25,Calc!$BK$5:$BN$5)</f>
        <v>0</v>
      </c>
      <c r="G25" s="122" t="str">
        <f t="shared" si="1"/>
        <v/>
      </c>
      <c r="H25" s="120" t="e">
        <f t="shared" si="2"/>
        <v>#VALUE!</v>
      </c>
      <c r="I25" s="100">
        <f>SUMPRODUCT($Q25:$T25,Calc!$BK$10:$BN$10)-62.03</f>
        <v>-62.03</v>
      </c>
      <c r="J25" s="95" t="e">
        <f>(1-(0.287*($Q25+$T25)+0.059*($R25+$S25))/(SUM($Q25:$T25)))*(SUMPRODUCT(Calc!$Y25:$AN25,Calc!$BO$5:$CD$5)-SUMPRODUCT($U25:$X25,Calc!$BK$5:$BN$5)+SUMPRODUCT($AS25:$BH25,Calc!$BO$5:$CD$5)-SUMPRODUCT(Calc!$AO25:$AR25,Calc!$BK$5:$BN$5))</f>
        <v>#DIV/0!</v>
      </c>
      <c r="K25" s="120" t="str">
        <f t="shared" si="3"/>
        <v/>
      </c>
      <c r="L25" s="120" t="e">
        <f t="shared" si="4"/>
        <v>#VALUE!</v>
      </c>
      <c r="M25" s="100">
        <f>SUMPRODUCT($Q25:$T25,Calc!$BK$11:$BN$11)-79.2*2+17.01*2</f>
        <v>-124.38</v>
      </c>
      <c r="N25" s="125">
        <f>1000*SUMPRODUCT($Y25:$AN25,Calc!$BO$6:$CD$6)/(-10.8+SUMPRODUCT($Y25:$AN25,Calc!$BO$7:$CD$7)+1.987*LN($O$3*POWER(10,-6)/4))-273.15+16.6*LOG10($N$3*POWER(10,-3))</f>
        <v>-294.74709792802207</v>
      </c>
      <c r="O25" s="127">
        <f t="shared" si="0"/>
        <v>0</v>
      </c>
      <c r="P25" s="135" t="e">
        <f t="shared" si="5"/>
        <v>#DIV/0!</v>
      </c>
      <c r="Q25" s="118">
        <f t="shared" si="6"/>
        <v>0</v>
      </c>
      <c r="R25" s="98">
        <f t="shared" si="6"/>
        <v>0</v>
      </c>
      <c r="S25" s="98">
        <f t="shared" si="6"/>
        <v>0</v>
      </c>
      <c r="T25" s="98">
        <f t="shared" si="6"/>
        <v>0</v>
      </c>
      <c r="U25" s="98">
        <f t="shared" si="7"/>
        <v>0</v>
      </c>
      <c r="V25" s="98">
        <f t="shared" si="8"/>
        <v>0</v>
      </c>
      <c r="W25" s="98">
        <f t="shared" si="9"/>
        <v>0</v>
      </c>
      <c r="X25" s="98">
        <f t="shared" si="10"/>
        <v>0</v>
      </c>
      <c r="Y25" s="98">
        <f t="shared" si="11"/>
        <v>0</v>
      </c>
      <c r="Z25" s="98">
        <f t="shared" si="12"/>
        <v>0</v>
      </c>
      <c r="AA25" s="98">
        <f t="shared" si="13"/>
        <v>0</v>
      </c>
      <c r="AB25" s="98">
        <f t="shared" si="14"/>
        <v>0</v>
      </c>
      <c r="AC25" s="98">
        <f t="shared" si="15"/>
        <v>0</v>
      </c>
      <c r="AD25" s="98">
        <f t="shared" si="16"/>
        <v>0</v>
      </c>
      <c r="AE25" s="98">
        <f t="shared" si="17"/>
        <v>0</v>
      </c>
      <c r="AF25" s="98">
        <f t="shared" si="18"/>
        <v>0</v>
      </c>
      <c r="AG25" s="98">
        <f t="shared" si="19"/>
        <v>0</v>
      </c>
      <c r="AH25" s="98">
        <f t="shared" si="20"/>
        <v>0</v>
      </c>
      <c r="AI25" s="98">
        <f t="shared" si="21"/>
        <v>0</v>
      </c>
      <c r="AJ25" s="98">
        <f t="shared" si="22"/>
        <v>0</v>
      </c>
      <c r="AK25" s="98">
        <f t="shared" si="23"/>
        <v>0</v>
      </c>
      <c r="AL25" s="98">
        <f t="shared" si="24"/>
        <v>0</v>
      </c>
      <c r="AM25" s="98">
        <f t="shared" si="25"/>
        <v>0</v>
      </c>
      <c r="AN25" s="100">
        <f t="shared" si="26"/>
        <v>0</v>
      </c>
      <c r="AO25" s="118">
        <f t="shared" si="27"/>
        <v>0</v>
      </c>
      <c r="AP25" s="98">
        <f t="shared" si="28"/>
        <v>0</v>
      </c>
      <c r="AQ25" s="98">
        <f t="shared" si="29"/>
        <v>0</v>
      </c>
      <c r="AR25" s="98">
        <f t="shared" si="30"/>
        <v>0</v>
      </c>
      <c r="AS25" s="98">
        <f t="shared" si="31"/>
        <v>0</v>
      </c>
      <c r="AT25" s="98">
        <f t="shared" si="32"/>
        <v>0</v>
      </c>
      <c r="AU25" s="98">
        <f t="shared" si="33"/>
        <v>0</v>
      </c>
      <c r="AV25" s="98">
        <f t="shared" si="34"/>
        <v>0</v>
      </c>
      <c r="AW25" s="98">
        <f t="shared" si="35"/>
        <v>0</v>
      </c>
      <c r="AX25" s="98">
        <f t="shared" si="36"/>
        <v>0</v>
      </c>
      <c r="AY25" s="98">
        <f t="shared" si="37"/>
        <v>0</v>
      </c>
      <c r="AZ25" s="98">
        <f t="shared" si="38"/>
        <v>0</v>
      </c>
      <c r="BA25" s="98">
        <f t="shared" si="39"/>
        <v>0</v>
      </c>
      <c r="BB25" s="98">
        <f t="shared" si="40"/>
        <v>0</v>
      </c>
      <c r="BC25" s="98">
        <f t="shared" si="41"/>
        <v>0</v>
      </c>
      <c r="BD25" s="98">
        <f t="shared" si="42"/>
        <v>0</v>
      </c>
      <c r="BE25" s="98">
        <f t="shared" si="43"/>
        <v>0</v>
      </c>
      <c r="BF25" s="98">
        <f t="shared" si="44"/>
        <v>0</v>
      </c>
      <c r="BG25" s="98">
        <f t="shared" si="45"/>
        <v>0</v>
      </c>
      <c r="BH25" s="100">
        <f t="shared" si="46"/>
        <v>0</v>
      </c>
    </row>
    <row r="26" spans="2:60" ht="14.5" customHeight="1">
      <c r="B26" s="130"/>
      <c r="C26" s="96"/>
      <c r="D26" s="97" t="str" cm="1">
        <f t="array" ref="D26">IFERROR(_xlfn.TEXTJOIN("", TRUE, MID(C26, _xlfn.SEQUENCE(LEN(C26), 1, LEN(C26), -1), 1)),"")</f>
        <v/>
      </c>
      <c r="E26" s="99"/>
      <c r="F26" s="95">
        <f>SUMPRODUCT($Y26:$AN26,Calc!$BO$5:$CD$5)-SUMPRODUCT(Calc!$U26:$X26,Calc!$BK$5:$BN$5)</f>
        <v>0</v>
      </c>
      <c r="G26" s="122" t="str">
        <f t="shared" si="1"/>
        <v/>
      </c>
      <c r="H26" s="120" t="e">
        <f t="shared" si="2"/>
        <v>#VALUE!</v>
      </c>
      <c r="I26" s="100">
        <f>SUMPRODUCT($Q26:$T26,Calc!$BK$10:$BN$10)-62.03</f>
        <v>-62.03</v>
      </c>
      <c r="J26" s="95" t="e">
        <f>(1-(0.287*($Q26+$T26)+0.059*($R26+$S26))/(SUM($Q26:$T26)))*(SUMPRODUCT(Calc!$Y26:$AN26,Calc!$BO$5:$CD$5)-SUMPRODUCT($U26:$X26,Calc!$BK$5:$BN$5)+SUMPRODUCT($AS26:$BH26,Calc!$BO$5:$CD$5)-SUMPRODUCT(Calc!$AO26:$AR26,Calc!$BK$5:$BN$5))</f>
        <v>#DIV/0!</v>
      </c>
      <c r="K26" s="120" t="str">
        <f t="shared" si="3"/>
        <v/>
      </c>
      <c r="L26" s="120" t="e">
        <f t="shared" si="4"/>
        <v>#VALUE!</v>
      </c>
      <c r="M26" s="100">
        <f>SUMPRODUCT($Q26:$T26,Calc!$BK$11:$BN$11)-79.2*2+17.01*2</f>
        <v>-124.38</v>
      </c>
      <c r="N26" s="125">
        <f>1000*SUMPRODUCT($Y26:$AN26,Calc!$BO$6:$CD$6)/(-10.8+SUMPRODUCT($Y26:$AN26,Calc!$BO$7:$CD$7)+1.987*LN($O$3*POWER(10,-6)/4))-273.15+16.6*LOG10($N$3*POWER(10,-3))</f>
        <v>-294.74709792802207</v>
      </c>
      <c r="O26" s="127">
        <f t="shared" si="0"/>
        <v>0</v>
      </c>
      <c r="P26" s="135" t="e">
        <f t="shared" si="5"/>
        <v>#DIV/0!</v>
      </c>
      <c r="Q26" s="118">
        <f t="shared" si="6"/>
        <v>0</v>
      </c>
      <c r="R26" s="98">
        <f t="shared" si="6"/>
        <v>0</v>
      </c>
      <c r="S26" s="98">
        <f t="shared" si="6"/>
        <v>0</v>
      </c>
      <c r="T26" s="98">
        <f t="shared" si="6"/>
        <v>0</v>
      </c>
      <c r="U26" s="98">
        <f t="shared" si="7"/>
        <v>0</v>
      </c>
      <c r="V26" s="98">
        <f t="shared" si="8"/>
        <v>0</v>
      </c>
      <c r="W26" s="98">
        <f t="shared" si="9"/>
        <v>0</v>
      </c>
      <c r="X26" s="98">
        <f t="shared" si="10"/>
        <v>0</v>
      </c>
      <c r="Y26" s="98">
        <f t="shared" si="11"/>
        <v>0</v>
      </c>
      <c r="Z26" s="98">
        <f t="shared" si="12"/>
        <v>0</v>
      </c>
      <c r="AA26" s="98">
        <f t="shared" si="13"/>
        <v>0</v>
      </c>
      <c r="AB26" s="98">
        <f t="shared" si="14"/>
        <v>0</v>
      </c>
      <c r="AC26" s="98">
        <f t="shared" si="15"/>
        <v>0</v>
      </c>
      <c r="AD26" s="98">
        <f t="shared" si="16"/>
        <v>0</v>
      </c>
      <c r="AE26" s="98">
        <f t="shared" si="17"/>
        <v>0</v>
      </c>
      <c r="AF26" s="98">
        <f t="shared" si="18"/>
        <v>0</v>
      </c>
      <c r="AG26" s="98">
        <f t="shared" si="19"/>
        <v>0</v>
      </c>
      <c r="AH26" s="98">
        <f t="shared" si="20"/>
        <v>0</v>
      </c>
      <c r="AI26" s="98">
        <f t="shared" si="21"/>
        <v>0</v>
      </c>
      <c r="AJ26" s="98">
        <f t="shared" si="22"/>
        <v>0</v>
      </c>
      <c r="AK26" s="98">
        <f t="shared" si="23"/>
        <v>0</v>
      </c>
      <c r="AL26" s="98">
        <f t="shared" si="24"/>
        <v>0</v>
      </c>
      <c r="AM26" s="98">
        <f t="shared" si="25"/>
        <v>0</v>
      </c>
      <c r="AN26" s="100">
        <f t="shared" si="26"/>
        <v>0</v>
      </c>
      <c r="AO26" s="118">
        <f t="shared" si="27"/>
        <v>0</v>
      </c>
      <c r="AP26" s="98">
        <f t="shared" si="28"/>
        <v>0</v>
      </c>
      <c r="AQ26" s="98">
        <f t="shared" si="29"/>
        <v>0</v>
      </c>
      <c r="AR26" s="98">
        <f t="shared" si="30"/>
        <v>0</v>
      </c>
      <c r="AS26" s="98">
        <f t="shared" si="31"/>
        <v>0</v>
      </c>
      <c r="AT26" s="98">
        <f t="shared" si="32"/>
        <v>0</v>
      </c>
      <c r="AU26" s="98">
        <f t="shared" si="33"/>
        <v>0</v>
      </c>
      <c r="AV26" s="98">
        <f t="shared" si="34"/>
        <v>0</v>
      </c>
      <c r="AW26" s="98">
        <f t="shared" si="35"/>
        <v>0</v>
      </c>
      <c r="AX26" s="98">
        <f t="shared" si="36"/>
        <v>0</v>
      </c>
      <c r="AY26" s="98">
        <f t="shared" si="37"/>
        <v>0</v>
      </c>
      <c r="AZ26" s="98">
        <f t="shared" si="38"/>
        <v>0</v>
      </c>
      <c r="BA26" s="98">
        <f t="shared" si="39"/>
        <v>0</v>
      </c>
      <c r="BB26" s="98">
        <f t="shared" si="40"/>
        <v>0</v>
      </c>
      <c r="BC26" s="98">
        <f t="shared" si="41"/>
        <v>0</v>
      </c>
      <c r="BD26" s="98">
        <f t="shared" si="42"/>
        <v>0</v>
      </c>
      <c r="BE26" s="98">
        <f t="shared" si="43"/>
        <v>0</v>
      </c>
      <c r="BF26" s="98">
        <f t="shared" si="44"/>
        <v>0</v>
      </c>
      <c r="BG26" s="98">
        <f t="shared" si="45"/>
        <v>0</v>
      </c>
      <c r="BH26" s="100">
        <f t="shared" si="46"/>
        <v>0</v>
      </c>
    </row>
    <row r="27" spans="2:60" ht="14.5" customHeight="1">
      <c r="B27" s="130"/>
      <c r="C27" s="96"/>
      <c r="D27" s="97" t="str" cm="1">
        <f t="array" ref="D27">IFERROR(_xlfn.TEXTJOIN("", TRUE, MID(C27, _xlfn.SEQUENCE(LEN(C27), 1, LEN(C27), -1), 1)),"")</f>
        <v/>
      </c>
      <c r="E27" s="99"/>
      <c r="F27" s="95">
        <f>SUMPRODUCT($Y27:$AN27,Calc!$BO$5:$CD$5)-SUMPRODUCT(Calc!$U27:$X27,Calc!$BK$5:$BN$5)</f>
        <v>0</v>
      </c>
      <c r="G27" s="122" t="str">
        <f t="shared" si="1"/>
        <v/>
      </c>
      <c r="H27" s="120" t="e">
        <f t="shared" si="2"/>
        <v>#VALUE!</v>
      </c>
      <c r="I27" s="100">
        <f>SUMPRODUCT($Q27:$T27,Calc!$BK$10:$BN$10)-62.03</f>
        <v>-62.03</v>
      </c>
      <c r="J27" s="95" t="e">
        <f>(1-(0.287*($Q27+$T27)+0.059*($R27+$S27))/(SUM($Q27:$T27)))*(SUMPRODUCT(Calc!$Y27:$AN27,Calc!$BO$5:$CD$5)-SUMPRODUCT($U27:$X27,Calc!$BK$5:$BN$5)+SUMPRODUCT($AS27:$BH27,Calc!$BO$5:$CD$5)-SUMPRODUCT(Calc!$AO27:$AR27,Calc!$BK$5:$BN$5))</f>
        <v>#DIV/0!</v>
      </c>
      <c r="K27" s="120" t="str">
        <f t="shared" si="3"/>
        <v/>
      </c>
      <c r="L27" s="120" t="e">
        <f t="shared" si="4"/>
        <v>#VALUE!</v>
      </c>
      <c r="M27" s="100">
        <f>SUMPRODUCT($Q27:$T27,Calc!$BK$11:$BN$11)-79.2*2+17.01*2</f>
        <v>-124.38</v>
      </c>
      <c r="N27" s="125">
        <f>1000*SUMPRODUCT($Y27:$AN27,Calc!$BO$6:$CD$6)/(-10.8+SUMPRODUCT($Y27:$AN27,Calc!$BO$7:$CD$7)+1.987*LN($O$3*POWER(10,-6)/4))-273.15+16.6*LOG10($N$3*POWER(10,-3))</f>
        <v>-294.74709792802207</v>
      </c>
      <c r="O27" s="127">
        <f t="shared" si="0"/>
        <v>0</v>
      </c>
      <c r="P27" s="135" t="e">
        <f t="shared" si="5"/>
        <v>#DIV/0!</v>
      </c>
      <c r="Q27" s="118">
        <f t="shared" si="6"/>
        <v>0</v>
      </c>
      <c r="R27" s="98">
        <f t="shared" si="6"/>
        <v>0</v>
      </c>
      <c r="S27" s="98">
        <f t="shared" si="6"/>
        <v>0</v>
      </c>
      <c r="T27" s="98">
        <f t="shared" si="6"/>
        <v>0</v>
      </c>
      <c r="U27" s="98">
        <f t="shared" si="7"/>
        <v>0</v>
      </c>
      <c r="V27" s="98">
        <f t="shared" si="8"/>
        <v>0</v>
      </c>
      <c r="W27" s="98">
        <f t="shared" si="9"/>
        <v>0</v>
      </c>
      <c r="X27" s="98">
        <f t="shared" si="10"/>
        <v>0</v>
      </c>
      <c r="Y27" s="98">
        <f t="shared" si="11"/>
        <v>0</v>
      </c>
      <c r="Z27" s="98">
        <f t="shared" si="12"/>
        <v>0</v>
      </c>
      <c r="AA27" s="98">
        <f t="shared" si="13"/>
        <v>0</v>
      </c>
      <c r="AB27" s="98">
        <f t="shared" si="14"/>
        <v>0</v>
      </c>
      <c r="AC27" s="98">
        <f t="shared" si="15"/>
        <v>0</v>
      </c>
      <c r="AD27" s="98">
        <f t="shared" si="16"/>
        <v>0</v>
      </c>
      <c r="AE27" s="98">
        <f t="shared" si="17"/>
        <v>0</v>
      </c>
      <c r="AF27" s="98">
        <f t="shared" si="18"/>
        <v>0</v>
      </c>
      <c r="AG27" s="98">
        <f t="shared" si="19"/>
        <v>0</v>
      </c>
      <c r="AH27" s="98">
        <f t="shared" si="20"/>
        <v>0</v>
      </c>
      <c r="AI27" s="98">
        <f t="shared" si="21"/>
        <v>0</v>
      </c>
      <c r="AJ27" s="98">
        <f t="shared" si="22"/>
        <v>0</v>
      </c>
      <c r="AK27" s="98">
        <f t="shared" si="23"/>
        <v>0</v>
      </c>
      <c r="AL27" s="98">
        <f t="shared" si="24"/>
        <v>0</v>
      </c>
      <c r="AM27" s="98">
        <f t="shared" si="25"/>
        <v>0</v>
      </c>
      <c r="AN27" s="100">
        <f t="shared" si="26"/>
        <v>0</v>
      </c>
      <c r="AO27" s="118">
        <f t="shared" si="27"/>
        <v>0</v>
      </c>
      <c r="AP27" s="98">
        <f t="shared" si="28"/>
        <v>0</v>
      </c>
      <c r="AQ27" s="98">
        <f t="shared" si="29"/>
        <v>0</v>
      </c>
      <c r="AR27" s="98">
        <f t="shared" si="30"/>
        <v>0</v>
      </c>
      <c r="AS27" s="98">
        <f t="shared" si="31"/>
        <v>0</v>
      </c>
      <c r="AT27" s="98">
        <f t="shared" si="32"/>
        <v>0</v>
      </c>
      <c r="AU27" s="98">
        <f t="shared" si="33"/>
        <v>0</v>
      </c>
      <c r="AV27" s="98">
        <f t="shared" si="34"/>
        <v>0</v>
      </c>
      <c r="AW27" s="98">
        <f t="shared" si="35"/>
        <v>0</v>
      </c>
      <c r="AX27" s="98">
        <f t="shared" si="36"/>
        <v>0</v>
      </c>
      <c r="AY27" s="98">
        <f t="shared" si="37"/>
        <v>0</v>
      </c>
      <c r="AZ27" s="98">
        <f t="shared" si="38"/>
        <v>0</v>
      </c>
      <c r="BA27" s="98">
        <f t="shared" si="39"/>
        <v>0</v>
      </c>
      <c r="BB27" s="98">
        <f t="shared" si="40"/>
        <v>0</v>
      </c>
      <c r="BC27" s="98">
        <f t="shared" si="41"/>
        <v>0</v>
      </c>
      <c r="BD27" s="98">
        <f t="shared" si="42"/>
        <v>0</v>
      </c>
      <c r="BE27" s="98">
        <f t="shared" si="43"/>
        <v>0</v>
      </c>
      <c r="BF27" s="98">
        <f t="shared" si="44"/>
        <v>0</v>
      </c>
      <c r="BG27" s="98">
        <f t="shared" si="45"/>
        <v>0</v>
      </c>
      <c r="BH27" s="100">
        <f t="shared" si="46"/>
        <v>0</v>
      </c>
    </row>
    <row r="28" spans="2:60" ht="14.5" customHeight="1">
      <c r="B28" s="130"/>
      <c r="C28" s="96"/>
      <c r="D28" s="97" t="str" cm="1">
        <f t="array" ref="D28">IFERROR(_xlfn.TEXTJOIN("", TRUE, MID(C28, _xlfn.SEQUENCE(LEN(C28), 1, LEN(C28), -1), 1)),"")</f>
        <v/>
      </c>
      <c r="E28" s="99"/>
      <c r="F28" s="95">
        <f>SUMPRODUCT($Y28:$AN28,Calc!$BO$5:$CD$5)-SUMPRODUCT(Calc!$U28:$X28,Calc!$BK$5:$BN$5)</f>
        <v>0</v>
      </c>
      <c r="G28" s="122" t="str">
        <f t="shared" si="1"/>
        <v/>
      </c>
      <c r="H28" s="120" t="e">
        <f t="shared" si="2"/>
        <v>#VALUE!</v>
      </c>
      <c r="I28" s="100">
        <f>SUMPRODUCT($Q28:$T28,Calc!$BK$10:$BN$10)-62.03</f>
        <v>-62.03</v>
      </c>
      <c r="J28" s="95" t="e">
        <f>(1-(0.287*($Q28+$T28)+0.059*($R28+$S28))/(SUM($Q28:$T28)))*(SUMPRODUCT(Calc!$Y28:$AN28,Calc!$BO$5:$CD$5)-SUMPRODUCT($U28:$X28,Calc!$BK$5:$BN$5)+SUMPRODUCT($AS28:$BH28,Calc!$BO$5:$CD$5)-SUMPRODUCT(Calc!$AO28:$AR28,Calc!$BK$5:$BN$5))</f>
        <v>#DIV/0!</v>
      </c>
      <c r="K28" s="120" t="str">
        <f t="shared" si="3"/>
        <v/>
      </c>
      <c r="L28" s="120" t="e">
        <f t="shared" si="4"/>
        <v>#VALUE!</v>
      </c>
      <c r="M28" s="100">
        <f>SUMPRODUCT($Q28:$T28,Calc!$BK$11:$BN$11)-79.2*2+17.01*2</f>
        <v>-124.38</v>
      </c>
      <c r="N28" s="125">
        <f>1000*SUMPRODUCT($Y28:$AN28,Calc!$BO$6:$CD$6)/(-10.8+SUMPRODUCT($Y28:$AN28,Calc!$BO$7:$CD$7)+1.987*LN($O$3*POWER(10,-6)/4))-273.15+16.6*LOG10($N$3*POWER(10,-3))</f>
        <v>-294.74709792802207</v>
      </c>
      <c r="O28" s="127">
        <f t="shared" si="0"/>
        <v>0</v>
      </c>
      <c r="P28" s="135" t="e">
        <f t="shared" si="5"/>
        <v>#DIV/0!</v>
      </c>
      <c r="Q28" s="118">
        <f t="shared" si="6"/>
        <v>0</v>
      </c>
      <c r="R28" s="98">
        <f t="shared" si="6"/>
        <v>0</v>
      </c>
      <c r="S28" s="98">
        <f t="shared" si="6"/>
        <v>0</v>
      </c>
      <c r="T28" s="98">
        <f t="shared" si="6"/>
        <v>0</v>
      </c>
      <c r="U28" s="98">
        <f t="shared" si="7"/>
        <v>0</v>
      </c>
      <c r="V28" s="98">
        <f t="shared" si="8"/>
        <v>0</v>
      </c>
      <c r="W28" s="98">
        <f t="shared" si="9"/>
        <v>0</v>
      </c>
      <c r="X28" s="98">
        <f t="shared" si="10"/>
        <v>0</v>
      </c>
      <c r="Y28" s="98">
        <f t="shared" si="11"/>
        <v>0</v>
      </c>
      <c r="Z28" s="98">
        <f t="shared" si="12"/>
        <v>0</v>
      </c>
      <c r="AA28" s="98">
        <f t="shared" si="13"/>
        <v>0</v>
      </c>
      <c r="AB28" s="98">
        <f t="shared" si="14"/>
        <v>0</v>
      </c>
      <c r="AC28" s="98">
        <f t="shared" si="15"/>
        <v>0</v>
      </c>
      <c r="AD28" s="98">
        <f t="shared" si="16"/>
        <v>0</v>
      </c>
      <c r="AE28" s="98">
        <f t="shared" si="17"/>
        <v>0</v>
      </c>
      <c r="AF28" s="98">
        <f t="shared" si="18"/>
        <v>0</v>
      </c>
      <c r="AG28" s="98">
        <f t="shared" si="19"/>
        <v>0</v>
      </c>
      <c r="AH28" s="98">
        <f t="shared" si="20"/>
        <v>0</v>
      </c>
      <c r="AI28" s="98">
        <f t="shared" si="21"/>
        <v>0</v>
      </c>
      <c r="AJ28" s="98">
        <f t="shared" si="22"/>
        <v>0</v>
      </c>
      <c r="AK28" s="98">
        <f t="shared" si="23"/>
        <v>0</v>
      </c>
      <c r="AL28" s="98">
        <f t="shared" si="24"/>
        <v>0</v>
      </c>
      <c r="AM28" s="98">
        <f t="shared" si="25"/>
        <v>0</v>
      </c>
      <c r="AN28" s="100">
        <f t="shared" si="26"/>
        <v>0</v>
      </c>
      <c r="AO28" s="118">
        <f t="shared" si="27"/>
        <v>0</v>
      </c>
      <c r="AP28" s="98">
        <f t="shared" si="28"/>
        <v>0</v>
      </c>
      <c r="AQ28" s="98">
        <f t="shared" si="29"/>
        <v>0</v>
      </c>
      <c r="AR28" s="98">
        <f t="shared" si="30"/>
        <v>0</v>
      </c>
      <c r="AS28" s="98">
        <f t="shared" si="31"/>
        <v>0</v>
      </c>
      <c r="AT28" s="98">
        <f t="shared" si="32"/>
        <v>0</v>
      </c>
      <c r="AU28" s="98">
        <f t="shared" si="33"/>
        <v>0</v>
      </c>
      <c r="AV28" s="98">
        <f t="shared" si="34"/>
        <v>0</v>
      </c>
      <c r="AW28" s="98">
        <f t="shared" si="35"/>
        <v>0</v>
      </c>
      <c r="AX28" s="98">
        <f t="shared" si="36"/>
        <v>0</v>
      </c>
      <c r="AY28" s="98">
        <f t="shared" si="37"/>
        <v>0</v>
      </c>
      <c r="AZ28" s="98">
        <f t="shared" si="38"/>
        <v>0</v>
      </c>
      <c r="BA28" s="98">
        <f t="shared" si="39"/>
        <v>0</v>
      </c>
      <c r="BB28" s="98">
        <f t="shared" si="40"/>
        <v>0</v>
      </c>
      <c r="BC28" s="98">
        <f t="shared" si="41"/>
        <v>0</v>
      </c>
      <c r="BD28" s="98">
        <f t="shared" si="42"/>
        <v>0</v>
      </c>
      <c r="BE28" s="98">
        <f t="shared" si="43"/>
        <v>0</v>
      </c>
      <c r="BF28" s="98">
        <f t="shared" si="44"/>
        <v>0</v>
      </c>
      <c r="BG28" s="98">
        <f t="shared" si="45"/>
        <v>0</v>
      </c>
      <c r="BH28" s="100">
        <f t="shared" si="46"/>
        <v>0</v>
      </c>
    </row>
    <row r="29" spans="2:60" ht="14.5" customHeight="1">
      <c r="B29" s="130"/>
      <c r="C29" s="96"/>
      <c r="D29" s="97" t="str" cm="1">
        <f t="array" ref="D29">IFERROR(_xlfn.TEXTJOIN("", TRUE, MID(C29, _xlfn.SEQUENCE(LEN(C29), 1, LEN(C29), -1), 1)),"")</f>
        <v/>
      </c>
      <c r="E29" s="99"/>
      <c r="F29" s="95">
        <f>SUMPRODUCT($Y29:$AN29,Calc!$BO$5:$CD$5)-SUMPRODUCT(Calc!$U29:$X29,Calc!$BK$5:$BN$5)</f>
        <v>0</v>
      </c>
      <c r="G29" s="122" t="str">
        <f t="shared" si="1"/>
        <v/>
      </c>
      <c r="H29" s="120" t="e">
        <f t="shared" si="2"/>
        <v>#VALUE!</v>
      </c>
      <c r="I29" s="100">
        <f>SUMPRODUCT($Q29:$T29,Calc!$BK$10:$BN$10)-62.03</f>
        <v>-62.03</v>
      </c>
      <c r="J29" s="95" t="e">
        <f>(1-(0.287*($Q29+$T29)+0.059*($R29+$S29))/(SUM($Q29:$T29)))*(SUMPRODUCT(Calc!$Y29:$AN29,Calc!$BO$5:$CD$5)-SUMPRODUCT($U29:$X29,Calc!$BK$5:$BN$5)+SUMPRODUCT($AS29:$BH29,Calc!$BO$5:$CD$5)-SUMPRODUCT(Calc!$AO29:$AR29,Calc!$BK$5:$BN$5))</f>
        <v>#DIV/0!</v>
      </c>
      <c r="K29" s="120" t="str">
        <f t="shared" si="3"/>
        <v/>
      </c>
      <c r="L29" s="120" t="e">
        <f t="shared" si="4"/>
        <v>#VALUE!</v>
      </c>
      <c r="M29" s="100">
        <f>SUMPRODUCT($Q29:$T29,Calc!$BK$11:$BN$11)-79.2*2+17.01*2</f>
        <v>-124.38</v>
      </c>
      <c r="N29" s="125">
        <f>1000*SUMPRODUCT($Y29:$AN29,Calc!$BO$6:$CD$6)/(-10.8+SUMPRODUCT($Y29:$AN29,Calc!$BO$7:$CD$7)+1.987*LN($O$3*POWER(10,-6)/4))-273.15+16.6*LOG10($N$3*POWER(10,-3))</f>
        <v>-294.74709792802207</v>
      </c>
      <c r="O29" s="127">
        <f t="shared" si="0"/>
        <v>0</v>
      </c>
      <c r="P29" s="135" t="e">
        <f t="shared" si="5"/>
        <v>#DIV/0!</v>
      </c>
      <c r="Q29" s="118">
        <f t="shared" si="6"/>
        <v>0</v>
      </c>
      <c r="R29" s="98">
        <f t="shared" si="6"/>
        <v>0</v>
      </c>
      <c r="S29" s="98">
        <f t="shared" si="6"/>
        <v>0</v>
      </c>
      <c r="T29" s="98">
        <f t="shared" si="6"/>
        <v>0</v>
      </c>
      <c r="U29" s="98">
        <f t="shared" si="7"/>
        <v>0</v>
      </c>
      <c r="V29" s="98">
        <f t="shared" si="8"/>
        <v>0</v>
      </c>
      <c r="W29" s="98">
        <f t="shared" si="9"/>
        <v>0</v>
      </c>
      <c r="X29" s="98">
        <f t="shared" si="10"/>
        <v>0</v>
      </c>
      <c r="Y29" s="98">
        <f t="shared" si="11"/>
        <v>0</v>
      </c>
      <c r="Z29" s="98">
        <f t="shared" si="12"/>
        <v>0</v>
      </c>
      <c r="AA29" s="98">
        <f t="shared" si="13"/>
        <v>0</v>
      </c>
      <c r="AB29" s="98">
        <f t="shared" si="14"/>
        <v>0</v>
      </c>
      <c r="AC29" s="98">
        <f t="shared" si="15"/>
        <v>0</v>
      </c>
      <c r="AD29" s="98">
        <f t="shared" si="16"/>
        <v>0</v>
      </c>
      <c r="AE29" s="98">
        <f t="shared" si="17"/>
        <v>0</v>
      </c>
      <c r="AF29" s="98">
        <f t="shared" si="18"/>
        <v>0</v>
      </c>
      <c r="AG29" s="98">
        <f t="shared" si="19"/>
        <v>0</v>
      </c>
      <c r="AH29" s="98">
        <f t="shared" si="20"/>
        <v>0</v>
      </c>
      <c r="AI29" s="98">
        <f t="shared" si="21"/>
        <v>0</v>
      </c>
      <c r="AJ29" s="98">
        <f t="shared" si="22"/>
        <v>0</v>
      </c>
      <c r="AK29" s="98">
        <f t="shared" si="23"/>
        <v>0</v>
      </c>
      <c r="AL29" s="98">
        <f t="shared" si="24"/>
        <v>0</v>
      </c>
      <c r="AM29" s="98">
        <f t="shared" si="25"/>
        <v>0</v>
      </c>
      <c r="AN29" s="100">
        <f t="shared" si="26"/>
        <v>0</v>
      </c>
      <c r="AO29" s="118">
        <f t="shared" si="27"/>
        <v>0</v>
      </c>
      <c r="AP29" s="98">
        <f t="shared" si="28"/>
        <v>0</v>
      </c>
      <c r="AQ29" s="98">
        <f t="shared" si="29"/>
        <v>0</v>
      </c>
      <c r="AR29" s="98">
        <f t="shared" si="30"/>
        <v>0</v>
      </c>
      <c r="AS29" s="98">
        <f t="shared" si="31"/>
        <v>0</v>
      </c>
      <c r="AT29" s="98">
        <f t="shared" si="32"/>
        <v>0</v>
      </c>
      <c r="AU29" s="98">
        <f t="shared" si="33"/>
        <v>0</v>
      </c>
      <c r="AV29" s="98">
        <f t="shared" si="34"/>
        <v>0</v>
      </c>
      <c r="AW29" s="98">
        <f t="shared" si="35"/>
        <v>0</v>
      </c>
      <c r="AX29" s="98">
        <f t="shared" si="36"/>
        <v>0</v>
      </c>
      <c r="AY29" s="98">
        <f t="shared" si="37"/>
        <v>0</v>
      </c>
      <c r="AZ29" s="98">
        <f t="shared" si="38"/>
        <v>0</v>
      </c>
      <c r="BA29" s="98">
        <f t="shared" si="39"/>
        <v>0</v>
      </c>
      <c r="BB29" s="98">
        <f t="shared" si="40"/>
        <v>0</v>
      </c>
      <c r="BC29" s="98">
        <f t="shared" si="41"/>
        <v>0</v>
      </c>
      <c r="BD29" s="98">
        <f t="shared" si="42"/>
        <v>0</v>
      </c>
      <c r="BE29" s="98">
        <f t="shared" si="43"/>
        <v>0</v>
      </c>
      <c r="BF29" s="98">
        <f t="shared" si="44"/>
        <v>0</v>
      </c>
      <c r="BG29" s="98">
        <f t="shared" si="45"/>
        <v>0</v>
      </c>
      <c r="BH29" s="100">
        <f t="shared" si="46"/>
        <v>0</v>
      </c>
    </row>
    <row r="30" spans="2:60" ht="14.5" customHeight="1">
      <c r="B30" s="130"/>
      <c r="C30" s="96"/>
      <c r="D30" s="97" t="str" cm="1">
        <f t="array" ref="D30">IFERROR(_xlfn.TEXTJOIN("", TRUE, MID(C30, _xlfn.SEQUENCE(LEN(C30), 1, LEN(C30), -1), 1)),"")</f>
        <v/>
      </c>
      <c r="E30" s="99"/>
      <c r="F30" s="95">
        <f>SUMPRODUCT($Y30:$AN30,Calc!$BO$5:$CD$5)-SUMPRODUCT(Calc!$U30:$X30,Calc!$BK$5:$BN$5)</f>
        <v>0</v>
      </c>
      <c r="G30" s="122" t="str">
        <f t="shared" si="1"/>
        <v/>
      </c>
      <c r="H30" s="120" t="e">
        <f t="shared" si="2"/>
        <v>#VALUE!</v>
      </c>
      <c r="I30" s="100">
        <f>SUMPRODUCT($Q30:$T30,Calc!$BK$10:$BN$10)-62.03</f>
        <v>-62.03</v>
      </c>
      <c r="J30" s="95" t="e">
        <f>(1-(0.287*($Q30+$T30)+0.059*($R30+$S30))/(SUM($Q30:$T30)))*(SUMPRODUCT(Calc!$Y30:$AN30,Calc!$BO$5:$CD$5)-SUMPRODUCT($U30:$X30,Calc!$BK$5:$BN$5)+SUMPRODUCT($AS30:$BH30,Calc!$BO$5:$CD$5)-SUMPRODUCT(Calc!$AO30:$AR30,Calc!$BK$5:$BN$5))</f>
        <v>#DIV/0!</v>
      </c>
      <c r="K30" s="120" t="str">
        <f t="shared" si="3"/>
        <v/>
      </c>
      <c r="L30" s="120" t="e">
        <f t="shared" si="4"/>
        <v>#VALUE!</v>
      </c>
      <c r="M30" s="100">
        <f>SUMPRODUCT($Q30:$T30,Calc!$BK$11:$BN$11)-79.2*2+17.01*2</f>
        <v>-124.38</v>
      </c>
      <c r="N30" s="125">
        <f>1000*SUMPRODUCT($Y30:$AN30,Calc!$BO$6:$CD$6)/(-10.8+SUMPRODUCT($Y30:$AN30,Calc!$BO$7:$CD$7)+1.987*LN($O$3*POWER(10,-6)/4))-273.15+16.6*LOG10($N$3*POWER(10,-3))</f>
        <v>-294.74709792802207</v>
      </c>
      <c r="O30" s="127">
        <f t="shared" si="0"/>
        <v>0</v>
      </c>
      <c r="P30" s="135" t="e">
        <f t="shared" si="5"/>
        <v>#DIV/0!</v>
      </c>
      <c r="Q30" s="118">
        <f t="shared" si="6"/>
        <v>0</v>
      </c>
      <c r="R30" s="98">
        <f t="shared" si="6"/>
        <v>0</v>
      </c>
      <c r="S30" s="98">
        <f t="shared" si="6"/>
        <v>0</v>
      </c>
      <c r="T30" s="98">
        <f t="shared" si="6"/>
        <v>0</v>
      </c>
      <c r="U30" s="98">
        <f t="shared" si="7"/>
        <v>0</v>
      </c>
      <c r="V30" s="98">
        <f t="shared" si="8"/>
        <v>0</v>
      </c>
      <c r="W30" s="98">
        <f t="shared" si="9"/>
        <v>0</v>
      </c>
      <c r="X30" s="98">
        <f t="shared" si="10"/>
        <v>0</v>
      </c>
      <c r="Y30" s="98">
        <f t="shared" si="11"/>
        <v>0</v>
      </c>
      <c r="Z30" s="98">
        <f t="shared" si="12"/>
        <v>0</v>
      </c>
      <c r="AA30" s="98">
        <f t="shared" si="13"/>
        <v>0</v>
      </c>
      <c r="AB30" s="98">
        <f t="shared" si="14"/>
        <v>0</v>
      </c>
      <c r="AC30" s="98">
        <f t="shared" si="15"/>
        <v>0</v>
      </c>
      <c r="AD30" s="98">
        <f t="shared" si="16"/>
        <v>0</v>
      </c>
      <c r="AE30" s="98">
        <f t="shared" si="17"/>
        <v>0</v>
      </c>
      <c r="AF30" s="98">
        <f t="shared" si="18"/>
        <v>0</v>
      </c>
      <c r="AG30" s="98">
        <f t="shared" si="19"/>
        <v>0</v>
      </c>
      <c r="AH30" s="98">
        <f t="shared" si="20"/>
        <v>0</v>
      </c>
      <c r="AI30" s="98">
        <f t="shared" si="21"/>
        <v>0</v>
      </c>
      <c r="AJ30" s="98">
        <f t="shared" si="22"/>
        <v>0</v>
      </c>
      <c r="AK30" s="98">
        <f t="shared" si="23"/>
        <v>0</v>
      </c>
      <c r="AL30" s="98">
        <f t="shared" si="24"/>
        <v>0</v>
      </c>
      <c r="AM30" s="98">
        <f t="shared" si="25"/>
        <v>0</v>
      </c>
      <c r="AN30" s="100">
        <f t="shared" si="26"/>
        <v>0</v>
      </c>
      <c r="AO30" s="118">
        <f t="shared" si="27"/>
        <v>0</v>
      </c>
      <c r="AP30" s="98">
        <f t="shared" si="28"/>
        <v>0</v>
      </c>
      <c r="AQ30" s="98">
        <f t="shared" si="29"/>
        <v>0</v>
      </c>
      <c r="AR30" s="98">
        <f t="shared" si="30"/>
        <v>0</v>
      </c>
      <c r="AS30" s="98">
        <f t="shared" si="31"/>
        <v>0</v>
      </c>
      <c r="AT30" s="98">
        <f t="shared" si="32"/>
        <v>0</v>
      </c>
      <c r="AU30" s="98">
        <f t="shared" si="33"/>
        <v>0</v>
      </c>
      <c r="AV30" s="98">
        <f t="shared" si="34"/>
        <v>0</v>
      </c>
      <c r="AW30" s="98">
        <f t="shared" si="35"/>
        <v>0</v>
      </c>
      <c r="AX30" s="98">
        <f t="shared" si="36"/>
        <v>0</v>
      </c>
      <c r="AY30" s="98">
        <f t="shared" si="37"/>
        <v>0</v>
      </c>
      <c r="AZ30" s="98">
        <f t="shared" si="38"/>
        <v>0</v>
      </c>
      <c r="BA30" s="98">
        <f t="shared" si="39"/>
        <v>0</v>
      </c>
      <c r="BB30" s="98">
        <f t="shared" si="40"/>
        <v>0</v>
      </c>
      <c r="BC30" s="98">
        <f t="shared" si="41"/>
        <v>0</v>
      </c>
      <c r="BD30" s="98">
        <f t="shared" si="42"/>
        <v>0</v>
      </c>
      <c r="BE30" s="98">
        <f t="shared" si="43"/>
        <v>0</v>
      </c>
      <c r="BF30" s="98">
        <f t="shared" si="44"/>
        <v>0</v>
      </c>
      <c r="BG30" s="98">
        <f t="shared" si="45"/>
        <v>0</v>
      </c>
      <c r="BH30" s="100">
        <f t="shared" si="46"/>
        <v>0</v>
      </c>
    </row>
    <row r="31" spans="2:60" ht="14.5" customHeight="1">
      <c r="B31" s="130"/>
      <c r="C31" s="96"/>
      <c r="D31" s="97" t="str" cm="1">
        <f t="array" ref="D31">IFERROR(_xlfn.TEXTJOIN("", TRUE, MID(C31, _xlfn.SEQUENCE(LEN(C31), 1, LEN(C31), -1), 1)),"")</f>
        <v/>
      </c>
      <c r="E31" s="99"/>
      <c r="F31" s="95">
        <f>SUMPRODUCT($Y31:$AN31,Calc!$BO$5:$CD$5)-SUMPRODUCT(Calc!$U31:$X31,Calc!$BK$5:$BN$5)</f>
        <v>0</v>
      </c>
      <c r="G31" s="122" t="str">
        <f t="shared" si="1"/>
        <v/>
      </c>
      <c r="H31" s="120" t="e">
        <f t="shared" si="2"/>
        <v>#VALUE!</v>
      </c>
      <c r="I31" s="100">
        <f>SUMPRODUCT($Q31:$T31,Calc!$BK$10:$BN$10)-62.03</f>
        <v>-62.03</v>
      </c>
      <c r="J31" s="95" t="e">
        <f>(1-(0.287*($Q31+$T31)+0.059*($R31+$S31))/(SUM($Q31:$T31)))*(SUMPRODUCT(Calc!$Y31:$AN31,Calc!$BO$5:$CD$5)-SUMPRODUCT($U31:$X31,Calc!$BK$5:$BN$5)+SUMPRODUCT($AS31:$BH31,Calc!$BO$5:$CD$5)-SUMPRODUCT(Calc!$AO31:$AR31,Calc!$BK$5:$BN$5))</f>
        <v>#DIV/0!</v>
      </c>
      <c r="K31" s="120" t="str">
        <f t="shared" si="3"/>
        <v/>
      </c>
      <c r="L31" s="120" t="e">
        <f t="shared" si="4"/>
        <v>#VALUE!</v>
      </c>
      <c r="M31" s="100">
        <f>SUMPRODUCT($Q31:$T31,Calc!$BK$11:$BN$11)-79.2*2+17.01*2</f>
        <v>-124.38</v>
      </c>
      <c r="N31" s="125">
        <f>1000*SUMPRODUCT($Y31:$AN31,Calc!$BO$6:$CD$6)/(-10.8+SUMPRODUCT($Y31:$AN31,Calc!$BO$7:$CD$7)+1.987*LN($O$3*POWER(10,-6)/4))-273.15+16.6*LOG10($N$3*POWER(10,-3))</f>
        <v>-294.74709792802207</v>
      </c>
      <c r="O31" s="127">
        <f t="shared" si="0"/>
        <v>0</v>
      </c>
      <c r="P31" s="135" t="e">
        <f t="shared" si="5"/>
        <v>#DIV/0!</v>
      </c>
      <c r="Q31" s="118">
        <f t="shared" si="6"/>
        <v>0</v>
      </c>
      <c r="R31" s="98">
        <f t="shared" si="6"/>
        <v>0</v>
      </c>
      <c r="S31" s="98">
        <f t="shared" si="6"/>
        <v>0</v>
      </c>
      <c r="T31" s="98">
        <f t="shared" si="6"/>
        <v>0</v>
      </c>
      <c r="U31" s="98">
        <f t="shared" si="7"/>
        <v>0</v>
      </c>
      <c r="V31" s="98">
        <f t="shared" si="8"/>
        <v>0</v>
      </c>
      <c r="W31" s="98">
        <f t="shared" si="9"/>
        <v>0</v>
      </c>
      <c r="X31" s="98">
        <f t="shared" si="10"/>
        <v>0</v>
      </c>
      <c r="Y31" s="98">
        <f t="shared" si="11"/>
        <v>0</v>
      </c>
      <c r="Z31" s="98">
        <f t="shared" si="12"/>
        <v>0</v>
      </c>
      <c r="AA31" s="98">
        <f t="shared" si="13"/>
        <v>0</v>
      </c>
      <c r="AB31" s="98">
        <f t="shared" si="14"/>
        <v>0</v>
      </c>
      <c r="AC31" s="98">
        <f t="shared" si="15"/>
        <v>0</v>
      </c>
      <c r="AD31" s="98">
        <f t="shared" si="16"/>
        <v>0</v>
      </c>
      <c r="AE31" s="98">
        <f t="shared" si="17"/>
        <v>0</v>
      </c>
      <c r="AF31" s="98">
        <f t="shared" si="18"/>
        <v>0</v>
      </c>
      <c r="AG31" s="98">
        <f t="shared" si="19"/>
        <v>0</v>
      </c>
      <c r="AH31" s="98">
        <f t="shared" si="20"/>
        <v>0</v>
      </c>
      <c r="AI31" s="98">
        <f t="shared" si="21"/>
        <v>0</v>
      </c>
      <c r="AJ31" s="98">
        <f t="shared" si="22"/>
        <v>0</v>
      </c>
      <c r="AK31" s="98">
        <f t="shared" si="23"/>
        <v>0</v>
      </c>
      <c r="AL31" s="98">
        <f t="shared" si="24"/>
        <v>0</v>
      </c>
      <c r="AM31" s="98">
        <f t="shared" si="25"/>
        <v>0</v>
      </c>
      <c r="AN31" s="100">
        <f t="shared" si="26"/>
        <v>0</v>
      </c>
      <c r="AO31" s="118">
        <f t="shared" si="27"/>
        <v>0</v>
      </c>
      <c r="AP31" s="98">
        <f t="shared" si="28"/>
        <v>0</v>
      </c>
      <c r="AQ31" s="98">
        <f t="shared" si="29"/>
        <v>0</v>
      </c>
      <c r="AR31" s="98">
        <f t="shared" si="30"/>
        <v>0</v>
      </c>
      <c r="AS31" s="98">
        <f t="shared" si="31"/>
        <v>0</v>
      </c>
      <c r="AT31" s="98">
        <f t="shared" si="32"/>
        <v>0</v>
      </c>
      <c r="AU31" s="98">
        <f t="shared" si="33"/>
        <v>0</v>
      </c>
      <c r="AV31" s="98">
        <f t="shared" si="34"/>
        <v>0</v>
      </c>
      <c r="AW31" s="98">
        <f t="shared" si="35"/>
        <v>0</v>
      </c>
      <c r="AX31" s="98">
        <f t="shared" si="36"/>
        <v>0</v>
      </c>
      <c r="AY31" s="98">
        <f t="shared" si="37"/>
        <v>0</v>
      </c>
      <c r="AZ31" s="98">
        <f t="shared" si="38"/>
        <v>0</v>
      </c>
      <c r="BA31" s="98">
        <f t="shared" si="39"/>
        <v>0</v>
      </c>
      <c r="BB31" s="98">
        <f t="shared" si="40"/>
        <v>0</v>
      </c>
      <c r="BC31" s="98">
        <f t="shared" si="41"/>
        <v>0</v>
      </c>
      <c r="BD31" s="98">
        <f t="shared" si="42"/>
        <v>0</v>
      </c>
      <c r="BE31" s="98">
        <f t="shared" si="43"/>
        <v>0</v>
      </c>
      <c r="BF31" s="98">
        <f t="shared" si="44"/>
        <v>0</v>
      </c>
      <c r="BG31" s="98">
        <f t="shared" si="45"/>
        <v>0</v>
      </c>
      <c r="BH31" s="100">
        <f t="shared" si="46"/>
        <v>0</v>
      </c>
    </row>
    <row r="32" spans="2:60" ht="14.5" customHeight="1">
      <c r="B32" s="130"/>
      <c r="C32" s="96"/>
      <c r="D32" s="97" t="str" cm="1">
        <f t="array" ref="D32">IFERROR(_xlfn.TEXTJOIN("", TRUE, MID(C32, _xlfn.SEQUENCE(LEN(C32), 1, LEN(C32), -1), 1)),"")</f>
        <v/>
      </c>
      <c r="E32" s="99"/>
      <c r="F32" s="95">
        <f>SUMPRODUCT($Y32:$AN32,Calc!$BO$5:$CD$5)-SUMPRODUCT(Calc!$U32:$X32,Calc!$BK$5:$BN$5)</f>
        <v>0</v>
      </c>
      <c r="G32" s="122" t="str">
        <f t="shared" si="1"/>
        <v/>
      </c>
      <c r="H32" s="120" t="e">
        <f t="shared" si="2"/>
        <v>#VALUE!</v>
      </c>
      <c r="I32" s="100">
        <f>SUMPRODUCT($Q32:$T32,Calc!$BK$10:$BN$10)-62.03</f>
        <v>-62.03</v>
      </c>
      <c r="J32" s="95" t="e">
        <f>(1-(0.287*($Q32+$T32)+0.059*($R32+$S32))/(SUM($Q32:$T32)))*(SUMPRODUCT(Calc!$Y32:$AN32,Calc!$BO$5:$CD$5)-SUMPRODUCT($U32:$X32,Calc!$BK$5:$BN$5)+SUMPRODUCT($AS32:$BH32,Calc!$BO$5:$CD$5)-SUMPRODUCT(Calc!$AO32:$AR32,Calc!$BK$5:$BN$5))</f>
        <v>#DIV/0!</v>
      </c>
      <c r="K32" s="120" t="str">
        <f t="shared" si="3"/>
        <v/>
      </c>
      <c r="L32" s="120" t="e">
        <f t="shared" si="4"/>
        <v>#VALUE!</v>
      </c>
      <c r="M32" s="100">
        <f>SUMPRODUCT($Q32:$T32,Calc!$BK$11:$BN$11)-79.2*2+17.01*2</f>
        <v>-124.38</v>
      </c>
      <c r="N32" s="125">
        <f>1000*SUMPRODUCT($Y32:$AN32,Calc!$BO$6:$CD$6)/(-10.8+SUMPRODUCT($Y32:$AN32,Calc!$BO$7:$CD$7)+1.987*LN($O$3*POWER(10,-6)/4))-273.15+16.6*LOG10($N$3*POWER(10,-3))</f>
        <v>-294.74709792802207</v>
      </c>
      <c r="O32" s="127">
        <f t="shared" si="0"/>
        <v>0</v>
      </c>
      <c r="P32" s="135" t="e">
        <f t="shared" si="5"/>
        <v>#DIV/0!</v>
      </c>
      <c r="Q32" s="118">
        <f t="shared" si="6"/>
        <v>0</v>
      </c>
      <c r="R32" s="98">
        <f t="shared" si="6"/>
        <v>0</v>
      </c>
      <c r="S32" s="98">
        <f t="shared" si="6"/>
        <v>0</v>
      </c>
      <c r="T32" s="98">
        <f t="shared" si="6"/>
        <v>0</v>
      </c>
      <c r="U32" s="98">
        <f t="shared" si="7"/>
        <v>0</v>
      </c>
      <c r="V32" s="98">
        <f t="shared" si="8"/>
        <v>0</v>
      </c>
      <c r="W32" s="98">
        <f t="shared" si="9"/>
        <v>0</v>
      </c>
      <c r="X32" s="98">
        <f t="shared" si="10"/>
        <v>0</v>
      </c>
      <c r="Y32" s="98">
        <f t="shared" si="11"/>
        <v>0</v>
      </c>
      <c r="Z32" s="98">
        <f t="shared" si="12"/>
        <v>0</v>
      </c>
      <c r="AA32" s="98">
        <f t="shared" si="13"/>
        <v>0</v>
      </c>
      <c r="AB32" s="98">
        <f t="shared" si="14"/>
        <v>0</v>
      </c>
      <c r="AC32" s="98">
        <f t="shared" si="15"/>
        <v>0</v>
      </c>
      <c r="AD32" s="98">
        <f t="shared" si="16"/>
        <v>0</v>
      </c>
      <c r="AE32" s="98">
        <f t="shared" si="17"/>
        <v>0</v>
      </c>
      <c r="AF32" s="98">
        <f t="shared" si="18"/>
        <v>0</v>
      </c>
      <c r="AG32" s="98">
        <f t="shared" si="19"/>
        <v>0</v>
      </c>
      <c r="AH32" s="98">
        <f t="shared" si="20"/>
        <v>0</v>
      </c>
      <c r="AI32" s="98">
        <f t="shared" si="21"/>
        <v>0</v>
      </c>
      <c r="AJ32" s="98">
        <f t="shared" si="22"/>
        <v>0</v>
      </c>
      <c r="AK32" s="98">
        <f t="shared" si="23"/>
        <v>0</v>
      </c>
      <c r="AL32" s="98">
        <f t="shared" si="24"/>
        <v>0</v>
      </c>
      <c r="AM32" s="98">
        <f t="shared" si="25"/>
        <v>0</v>
      </c>
      <c r="AN32" s="100">
        <f t="shared" si="26"/>
        <v>0</v>
      </c>
      <c r="AO32" s="118">
        <f t="shared" si="27"/>
        <v>0</v>
      </c>
      <c r="AP32" s="98">
        <f t="shared" si="28"/>
        <v>0</v>
      </c>
      <c r="AQ32" s="98">
        <f t="shared" si="29"/>
        <v>0</v>
      </c>
      <c r="AR32" s="98">
        <f t="shared" si="30"/>
        <v>0</v>
      </c>
      <c r="AS32" s="98">
        <f t="shared" si="31"/>
        <v>0</v>
      </c>
      <c r="AT32" s="98">
        <f t="shared" si="32"/>
        <v>0</v>
      </c>
      <c r="AU32" s="98">
        <f t="shared" si="33"/>
        <v>0</v>
      </c>
      <c r="AV32" s="98">
        <f t="shared" si="34"/>
        <v>0</v>
      </c>
      <c r="AW32" s="98">
        <f t="shared" si="35"/>
        <v>0</v>
      </c>
      <c r="AX32" s="98">
        <f t="shared" si="36"/>
        <v>0</v>
      </c>
      <c r="AY32" s="98">
        <f t="shared" si="37"/>
        <v>0</v>
      </c>
      <c r="AZ32" s="98">
        <f t="shared" si="38"/>
        <v>0</v>
      </c>
      <c r="BA32" s="98">
        <f t="shared" si="39"/>
        <v>0</v>
      </c>
      <c r="BB32" s="98">
        <f t="shared" si="40"/>
        <v>0</v>
      </c>
      <c r="BC32" s="98">
        <f t="shared" si="41"/>
        <v>0</v>
      </c>
      <c r="BD32" s="98">
        <f t="shared" si="42"/>
        <v>0</v>
      </c>
      <c r="BE32" s="98">
        <f t="shared" si="43"/>
        <v>0</v>
      </c>
      <c r="BF32" s="98">
        <f t="shared" si="44"/>
        <v>0</v>
      </c>
      <c r="BG32" s="98">
        <f t="shared" si="45"/>
        <v>0</v>
      </c>
      <c r="BH32" s="100">
        <f t="shared" si="46"/>
        <v>0</v>
      </c>
    </row>
    <row r="33" spans="2:60" ht="14.5" customHeight="1">
      <c r="B33" s="130"/>
      <c r="C33" s="96"/>
      <c r="D33" s="97" t="str" cm="1">
        <f t="array" ref="D33">IFERROR(_xlfn.TEXTJOIN("", TRUE, MID(C33, _xlfn.SEQUENCE(LEN(C33), 1, LEN(C33), -1), 1)),"")</f>
        <v/>
      </c>
      <c r="E33" s="99"/>
      <c r="F33" s="95">
        <f>SUMPRODUCT($Y33:$AN33,Calc!$BO$5:$CD$5)-SUMPRODUCT(Calc!$U33:$X33,Calc!$BK$5:$BN$5)</f>
        <v>0</v>
      </c>
      <c r="G33" s="122" t="str">
        <f t="shared" si="1"/>
        <v/>
      </c>
      <c r="H33" s="120" t="e">
        <f t="shared" si="2"/>
        <v>#VALUE!</v>
      </c>
      <c r="I33" s="100">
        <f>SUMPRODUCT($Q33:$T33,Calc!$BK$10:$BN$10)-62.03</f>
        <v>-62.03</v>
      </c>
      <c r="J33" s="95" t="e">
        <f>(1-(0.287*($Q33+$T33)+0.059*($R33+$S33))/(SUM($Q33:$T33)))*(SUMPRODUCT(Calc!$Y33:$AN33,Calc!$BO$5:$CD$5)-SUMPRODUCT($U33:$X33,Calc!$BK$5:$BN$5)+SUMPRODUCT($AS33:$BH33,Calc!$BO$5:$CD$5)-SUMPRODUCT(Calc!$AO33:$AR33,Calc!$BK$5:$BN$5))</f>
        <v>#DIV/0!</v>
      </c>
      <c r="K33" s="120" t="str">
        <f t="shared" si="3"/>
        <v/>
      </c>
      <c r="L33" s="120" t="e">
        <f t="shared" si="4"/>
        <v>#VALUE!</v>
      </c>
      <c r="M33" s="100">
        <f>SUMPRODUCT($Q33:$T33,Calc!$BK$11:$BN$11)-79.2*2+17.01*2</f>
        <v>-124.38</v>
      </c>
      <c r="N33" s="125">
        <f>1000*SUMPRODUCT($Y33:$AN33,Calc!$BO$6:$CD$6)/(-10.8+SUMPRODUCT($Y33:$AN33,Calc!$BO$7:$CD$7)+1.987*LN($O$3*POWER(10,-6)/4))-273.15+16.6*LOG10($N$3*POWER(10,-3))</f>
        <v>-294.74709792802207</v>
      </c>
      <c r="O33" s="127">
        <f t="shared" si="0"/>
        <v>0</v>
      </c>
      <c r="P33" s="135" t="e">
        <f t="shared" si="5"/>
        <v>#DIV/0!</v>
      </c>
      <c r="Q33" s="118">
        <f t="shared" si="6"/>
        <v>0</v>
      </c>
      <c r="R33" s="98">
        <f t="shared" si="6"/>
        <v>0</v>
      </c>
      <c r="S33" s="98">
        <f t="shared" si="6"/>
        <v>0</v>
      </c>
      <c r="T33" s="98">
        <f t="shared" si="6"/>
        <v>0</v>
      </c>
      <c r="U33" s="98">
        <f t="shared" si="7"/>
        <v>0</v>
      </c>
      <c r="V33" s="98">
        <f t="shared" si="8"/>
        <v>0</v>
      </c>
      <c r="W33" s="98">
        <f t="shared" si="9"/>
        <v>0</v>
      </c>
      <c r="X33" s="98">
        <f t="shared" si="10"/>
        <v>0</v>
      </c>
      <c r="Y33" s="98">
        <f t="shared" si="11"/>
        <v>0</v>
      </c>
      <c r="Z33" s="98">
        <f t="shared" si="12"/>
        <v>0</v>
      </c>
      <c r="AA33" s="98">
        <f t="shared" si="13"/>
        <v>0</v>
      </c>
      <c r="AB33" s="98">
        <f t="shared" si="14"/>
        <v>0</v>
      </c>
      <c r="AC33" s="98">
        <f t="shared" si="15"/>
        <v>0</v>
      </c>
      <c r="AD33" s="98">
        <f t="shared" si="16"/>
        <v>0</v>
      </c>
      <c r="AE33" s="98">
        <f t="shared" si="17"/>
        <v>0</v>
      </c>
      <c r="AF33" s="98">
        <f t="shared" si="18"/>
        <v>0</v>
      </c>
      <c r="AG33" s="98">
        <f t="shared" si="19"/>
        <v>0</v>
      </c>
      <c r="AH33" s="98">
        <f t="shared" si="20"/>
        <v>0</v>
      </c>
      <c r="AI33" s="98">
        <f t="shared" si="21"/>
        <v>0</v>
      </c>
      <c r="AJ33" s="98">
        <f t="shared" si="22"/>
        <v>0</v>
      </c>
      <c r="AK33" s="98">
        <f t="shared" si="23"/>
        <v>0</v>
      </c>
      <c r="AL33" s="98">
        <f t="shared" si="24"/>
        <v>0</v>
      </c>
      <c r="AM33" s="98">
        <f t="shared" si="25"/>
        <v>0</v>
      </c>
      <c r="AN33" s="100">
        <f t="shared" si="26"/>
        <v>0</v>
      </c>
      <c r="AO33" s="118">
        <f t="shared" si="27"/>
        <v>0</v>
      </c>
      <c r="AP33" s="98">
        <f t="shared" si="28"/>
        <v>0</v>
      </c>
      <c r="AQ33" s="98">
        <f t="shared" si="29"/>
        <v>0</v>
      </c>
      <c r="AR33" s="98">
        <f t="shared" si="30"/>
        <v>0</v>
      </c>
      <c r="AS33" s="98">
        <f t="shared" si="31"/>
        <v>0</v>
      </c>
      <c r="AT33" s="98">
        <f t="shared" si="32"/>
        <v>0</v>
      </c>
      <c r="AU33" s="98">
        <f t="shared" si="33"/>
        <v>0</v>
      </c>
      <c r="AV33" s="98">
        <f t="shared" si="34"/>
        <v>0</v>
      </c>
      <c r="AW33" s="98">
        <f t="shared" si="35"/>
        <v>0</v>
      </c>
      <c r="AX33" s="98">
        <f t="shared" si="36"/>
        <v>0</v>
      </c>
      <c r="AY33" s="98">
        <f t="shared" si="37"/>
        <v>0</v>
      </c>
      <c r="AZ33" s="98">
        <f t="shared" si="38"/>
        <v>0</v>
      </c>
      <c r="BA33" s="98">
        <f t="shared" si="39"/>
        <v>0</v>
      </c>
      <c r="BB33" s="98">
        <f t="shared" si="40"/>
        <v>0</v>
      </c>
      <c r="BC33" s="98">
        <f t="shared" si="41"/>
        <v>0</v>
      </c>
      <c r="BD33" s="98">
        <f t="shared" si="42"/>
        <v>0</v>
      </c>
      <c r="BE33" s="98">
        <f t="shared" si="43"/>
        <v>0</v>
      </c>
      <c r="BF33" s="98">
        <f t="shared" si="44"/>
        <v>0</v>
      </c>
      <c r="BG33" s="98">
        <f t="shared" si="45"/>
        <v>0</v>
      </c>
      <c r="BH33" s="100">
        <f t="shared" si="46"/>
        <v>0</v>
      </c>
    </row>
    <row r="34" spans="2:60" ht="14.5" customHeight="1">
      <c r="B34" s="130"/>
      <c r="C34" s="96"/>
      <c r="D34" s="97" t="str" cm="1">
        <f t="array" ref="D34">IFERROR(_xlfn.TEXTJOIN("", TRUE, MID(C34, _xlfn.SEQUENCE(LEN(C34), 1, LEN(C34), -1), 1)),"")</f>
        <v/>
      </c>
      <c r="E34" s="99"/>
      <c r="F34" s="95">
        <f>SUMPRODUCT($Y34:$AN34,Calc!$BO$5:$CD$5)-SUMPRODUCT(Calc!$U34:$X34,Calc!$BK$5:$BN$5)</f>
        <v>0</v>
      </c>
      <c r="G34" s="122" t="str">
        <f t="shared" si="1"/>
        <v/>
      </c>
      <c r="H34" s="120" t="e">
        <f t="shared" si="2"/>
        <v>#VALUE!</v>
      </c>
      <c r="I34" s="100">
        <f>SUMPRODUCT($Q34:$T34,Calc!$BK$10:$BN$10)-62.03</f>
        <v>-62.03</v>
      </c>
      <c r="J34" s="95" t="e">
        <f>(1-(0.287*($Q34+$T34)+0.059*($R34+$S34))/(SUM($Q34:$T34)))*(SUMPRODUCT(Calc!$Y34:$AN34,Calc!$BO$5:$CD$5)-SUMPRODUCT($U34:$X34,Calc!$BK$5:$BN$5)+SUMPRODUCT($AS34:$BH34,Calc!$BO$5:$CD$5)-SUMPRODUCT(Calc!$AO34:$AR34,Calc!$BK$5:$BN$5))</f>
        <v>#DIV/0!</v>
      </c>
      <c r="K34" s="120" t="str">
        <f t="shared" si="3"/>
        <v/>
      </c>
      <c r="L34" s="120" t="e">
        <f t="shared" si="4"/>
        <v>#VALUE!</v>
      </c>
      <c r="M34" s="100">
        <f>SUMPRODUCT($Q34:$T34,Calc!$BK$11:$BN$11)-79.2*2+17.01*2</f>
        <v>-124.38</v>
      </c>
      <c r="N34" s="125">
        <f>1000*SUMPRODUCT($Y34:$AN34,Calc!$BO$6:$CD$6)/(-10.8+SUMPRODUCT($Y34:$AN34,Calc!$BO$7:$CD$7)+1.987*LN($O$3*POWER(10,-6)/4))-273.15+16.6*LOG10($N$3*POWER(10,-3))</f>
        <v>-294.74709792802207</v>
      </c>
      <c r="O34" s="127">
        <f t="shared" si="0"/>
        <v>0</v>
      </c>
      <c r="P34" s="135" t="e">
        <f t="shared" si="5"/>
        <v>#DIV/0!</v>
      </c>
      <c r="Q34" s="118">
        <f t="shared" si="6"/>
        <v>0</v>
      </c>
      <c r="R34" s="98">
        <f t="shared" si="6"/>
        <v>0</v>
      </c>
      <c r="S34" s="98">
        <f t="shared" si="6"/>
        <v>0</v>
      </c>
      <c r="T34" s="98">
        <f t="shared" si="6"/>
        <v>0</v>
      </c>
      <c r="U34" s="98">
        <f t="shared" si="7"/>
        <v>0</v>
      </c>
      <c r="V34" s="98">
        <f t="shared" si="8"/>
        <v>0</v>
      </c>
      <c r="W34" s="98">
        <f t="shared" si="9"/>
        <v>0</v>
      </c>
      <c r="X34" s="98">
        <f t="shared" si="10"/>
        <v>0</v>
      </c>
      <c r="Y34" s="98">
        <f t="shared" si="11"/>
        <v>0</v>
      </c>
      <c r="Z34" s="98">
        <f t="shared" si="12"/>
        <v>0</v>
      </c>
      <c r="AA34" s="98">
        <f t="shared" si="13"/>
        <v>0</v>
      </c>
      <c r="AB34" s="98">
        <f t="shared" si="14"/>
        <v>0</v>
      </c>
      <c r="AC34" s="98">
        <f t="shared" si="15"/>
        <v>0</v>
      </c>
      <c r="AD34" s="98">
        <f t="shared" si="16"/>
        <v>0</v>
      </c>
      <c r="AE34" s="98">
        <f t="shared" si="17"/>
        <v>0</v>
      </c>
      <c r="AF34" s="98">
        <f t="shared" si="18"/>
        <v>0</v>
      </c>
      <c r="AG34" s="98">
        <f t="shared" si="19"/>
        <v>0</v>
      </c>
      <c r="AH34" s="98">
        <f t="shared" si="20"/>
        <v>0</v>
      </c>
      <c r="AI34" s="98">
        <f t="shared" si="21"/>
        <v>0</v>
      </c>
      <c r="AJ34" s="98">
        <f t="shared" si="22"/>
        <v>0</v>
      </c>
      <c r="AK34" s="98">
        <f t="shared" si="23"/>
        <v>0</v>
      </c>
      <c r="AL34" s="98">
        <f t="shared" si="24"/>
        <v>0</v>
      </c>
      <c r="AM34" s="98">
        <f t="shared" si="25"/>
        <v>0</v>
      </c>
      <c r="AN34" s="100">
        <f t="shared" si="26"/>
        <v>0</v>
      </c>
      <c r="AO34" s="118">
        <f t="shared" si="27"/>
        <v>0</v>
      </c>
      <c r="AP34" s="98">
        <f t="shared" si="28"/>
        <v>0</v>
      </c>
      <c r="AQ34" s="98">
        <f t="shared" si="29"/>
        <v>0</v>
      </c>
      <c r="AR34" s="98">
        <f t="shared" si="30"/>
        <v>0</v>
      </c>
      <c r="AS34" s="98">
        <f t="shared" si="31"/>
        <v>0</v>
      </c>
      <c r="AT34" s="98">
        <f t="shared" si="32"/>
        <v>0</v>
      </c>
      <c r="AU34" s="98">
        <f t="shared" si="33"/>
        <v>0</v>
      </c>
      <c r="AV34" s="98">
        <f t="shared" si="34"/>
        <v>0</v>
      </c>
      <c r="AW34" s="98">
        <f t="shared" si="35"/>
        <v>0</v>
      </c>
      <c r="AX34" s="98">
        <f t="shared" si="36"/>
        <v>0</v>
      </c>
      <c r="AY34" s="98">
        <f t="shared" si="37"/>
        <v>0</v>
      </c>
      <c r="AZ34" s="98">
        <f t="shared" si="38"/>
        <v>0</v>
      </c>
      <c r="BA34" s="98">
        <f t="shared" si="39"/>
        <v>0</v>
      </c>
      <c r="BB34" s="98">
        <f t="shared" si="40"/>
        <v>0</v>
      </c>
      <c r="BC34" s="98">
        <f t="shared" si="41"/>
        <v>0</v>
      </c>
      <c r="BD34" s="98">
        <f t="shared" si="42"/>
        <v>0</v>
      </c>
      <c r="BE34" s="98">
        <f t="shared" si="43"/>
        <v>0</v>
      </c>
      <c r="BF34" s="98">
        <f t="shared" si="44"/>
        <v>0</v>
      </c>
      <c r="BG34" s="98">
        <f t="shared" si="45"/>
        <v>0</v>
      </c>
      <c r="BH34" s="100">
        <f t="shared" si="46"/>
        <v>0</v>
      </c>
    </row>
    <row r="35" spans="2:60" ht="14.5" customHeight="1">
      <c r="B35" s="130"/>
      <c r="C35" s="96"/>
      <c r="D35" s="97" t="str" cm="1">
        <f t="array" ref="D35">IFERROR(_xlfn.TEXTJOIN("", TRUE, MID(C35, _xlfn.SEQUENCE(LEN(C35), 1, LEN(C35), -1), 1)),"")</f>
        <v/>
      </c>
      <c r="E35" s="99"/>
      <c r="F35" s="95">
        <f>SUMPRODUCT($Y35:$AN35,Calc!$BO$5:$CD$5)-SUMPRODUCT(Calc!$U35:$X35,Calc!$BK$5:$BN$5)</f>
        <v>0</v>
      </c>
      <c r="G35" s="122" t="str">
        <f t="shared" si="1"/>
        <v/>
      </c>
      <c r="H35" s="120" t="e">
        <f t="shared" si="2"/>
        <v>#VALUE!</v>
      </c>
      <c r="I35" s="100">
        <f>SUMPRODUCT($Q35:$T35,Calc!$BK$10:$BN$10)-62.03</f>
        <v>-62.03</v>
      </c>
      <c r="J35" s="95" t="e">
        <f>(1-(0.287*($Q35+$T35)+0.059*($R35+$S35))/(SUM($Q35:$T35)))*(SUMPRODUCT(Calc!$Y35:$AN35,Calc!$BO$5:$CD$5)-SUMPRODUCT($U35:$X35,Calc!$BK$5:$BN$5)+SUMPRODUCT($AS35:$BH35,Calc!$BO$5:$CD$5)-SUMPRODUCT(Calc!$AO35:$AR35,Calc!$BK$5:$BN$5))</f>
        <v>#DIV/0!</v>
      </c>
      <c r="K35" s="120" t="str">
        <f t="shared" si="3"/>
        <v/>
      </c>
      <c r="L35" s="120" t="e">
        <f t="shared" si="4"/>
        <v>#VALUE!</v>
      </c>
      <c r="M35" s="100">
        <f>SUMPRODUCT($Q35:$T35,Calc!$BK$11:$BN$11)-79.2*2+17.01*2</f>
        <v>-124.38</v>
      </c>
      <c r="N35" s="125">
        <f>1000*SUMPRODUCT($Y35:$AN35,Calc!$BO$6:$CD$6)/(-10.8+SUMPRODUCT($Y35:$AN35,Calc!$BO$7:$CD$7)+1.987*LN($O$3*POWER(10,-6)/4))-273.15+16.6*LOG10($N$3*POWER(10,-3))</f>
        <v>-294.74709792802207</v>
      </c>
      <c r="O35" s="127">
        <f t="shared" si="0"/>
        <v>0</v>
      </c>
      <c r="P35" s="135" t="e">
        <f t="shared" si="5"/>
        <v>#DIV/0!</v>
      </c>
      <c r="Q35" s="118">
        <f t="shared" si="6"/>
        <v>0</v>
      </c>
      <c r="R35" s="98">
        <f t="shared" si="6"/>
        <v>0</v>
      </c>
      <c r="S35" s="98">
        <f t="shared" si="6"/>
        <v>0</v>
      </c>
      <c r="T35" s="98">
        <f t="shared" si="6"/>
        <v>0</v>
      </c>
      <c r="U35" s="98">
        <f t="shared" si="7"/>
        <v>0</v>
      </c>
      <c r="V35" s="98">
        <f t="shared" si="8"/>
        <v>0</v>
      </c>
      <c r="W35" s="98">
        <f t="shared" si="9"/>
        <v>0</v>
      </c>
      <c r="X35" s="98">
        <f t="shared" si="10"/>
        <v>0</v>
      </c>
      <c r="Y35" s="98">
        <f t="shared" si="11"/>
        <v>0</v>
      </c>
      <c r="Z35" s="98">
        <f t="shared" si="12"/>
        <v>0</v>
      </c>
      <c r="AA35" s="98">
        <f t="shared" si="13"/>
        <v>0</v>
      </c>
      <c r="AB35" s="98">
        <f t="shared" si="14"/>
        <v>0</v>
      </c>
      <c r="AC35" s="98">
        <f t="shared" si="15"/>
        <v>0</v>
      </c>
      <c r="AD35" s="98">
        <f t="shared" si="16"/>
        <v>0</v>
      </c>
      <c r="AE35" s="98">
        <f t="shared" si="17"/>
        <v>0</v>
      </c>
      <c r="AF35" s="98">
        <f t="shared" si="18"/>
        <v>0</v>
      </c>
      <c r="AG35" s="98">
        <f t="shared" si="19"/>
        <v>0</v>
      </c>
      <c r="AH35" s="98">
        <f t="shared" si="20"/>
        <v>0</v>
      </c>
      <c r="AI35" s="98">
        <f t="shared" si="21"/>
        <v>0</v>
      </c>
      <c r="AJ35" s="98">
        <f t="shared" si="22"/>
        <v>0</v>
      </c>
      <c r="AK35" s="98">
        <f t="shared" si="23"/>
        <v>0</v>
      </c>
      <c r="AL35" s="98">
        <f t="shared" si="24"/>
        <v>0</v>
      </c>
      <c r="AM35" s="98">
        <f t="shared" si="25"/>
        <v>0</v>
      </c>
      <c r="AN35" s="100">
        <f t="shared" si="26"/>
        <v>0</v>
      </c>
      <c r="AO35" s="118">
        <f t="shared" si="27"/>
        <v>0</v>
      </c>
      <c r="AP35" s="98">
        <f t="shared" si="28"/>
        <v>0</v>
      </c>
      <c r="AQ35" s="98">
        <f t="shared" si="29"/>
        <v>0</v>
      </c>
      <c r="AR35" s="98">
        <f t="shared" si="30"/>
        <v>0</v>
      </c>
      <c r="AS35" s="98">
        <f t="shared" si="31"/>
        <v>0</v>
      </c>
      <c r="AT35" s="98">
        <f t="shared" si="32"/>
        <v>0</v>
      </c>
      <c r="AU35" s="98">
        <f t="shared" si="33"/>
        <v>0</v>
      </c>
      <c r="AV35" s="98">
        <f t="shared" si="34"/>
        <v>0</v>
      </c>
      <c r="AW35" s="98">
        <f t="shared" si="35"/>
        <v>0</v>
      </c>
      <c r="AX35" s="98">
        <f t="shared" si="36"/>
        <v>0</v>
      </c>
      <c r="AY35" s="98">
        <f t="shared" si="37"/>
        <v>0</v>
      </c>
      <c r="AZ35" s="98">
        <f t="shared" si="38"/>
        <v>0</v>
      </c>
      <c r="BA35" s="98">
        <f t="shared" si="39"/>
        <v>0</v>
      </c>
      <c r="BB35" s="98">
        <f t="shared" si="40"/>
        <v>0</v>
      </c>
      <c r="BC35" s="98">
        <f t="shared" si="41"/>
        <v>0</v>
      </c>
      <c r="BD35" s="98">
        <f t="shared" si="42"/>
        <v>0</v>
      </c>
      <c r="BE35" s="98">
        <f t="shared" si="43"/>
        <v>0</v>
      </c>
      <c r="BF35" s="98">
        <f t="shared" si="44"/>
        <v>0</v>
      </c>
      <c r="BG35" s="98">
        <f t="shared" si="45"/>
        <v>0</v>
      </c>
      <c r="BH35" s="100">
        <f t="shared" si="46"/>
        <v>0</v>
      </c>
    </row>
    <row r="36" spans="2:60" ht="14.5" customHeight="1">
      <c r="B36" s="130"/>
      <c r="C36" s="96"/>
      <c r="D36" s="97" t="str" cm="1">
        <f t="array" ref="D36">IFERROR(_xlfn.TEXTJOIN("", TRUE, MID(C36, _xlfn.SEQUENCE(LEN(C36), 1, LEN(C36), -1), 1)),"")</f>
        <v/>
      </c>
      <c r="E36" s="99"/>
      <c r="F36" s="95">
        <f>SUMPRODUCT($Y36:$AN36,Calc!$BO$5:$CD$5)-SUMPRODUCT(Calc!$U36:$X36,Calc!$BK$5:$BN$5)</f>
        <v>0</v>
      </c>
      <c r="G36" s="122" t="str">
        <f t="shared" si="1"/>
        <v/>
      </c>
      <c r="H36" s="120" t="e">
        <f t="shared" si="2"/>
        <v>#VALUE!</v>
      </c>
      <c r="I36" s="100">
        <f>SUMPRODUCT($Q36:$T36,Calc!$BK$10:$BN$10)-62.03</f>
        <v>-62.03</v>
      </c>
      <c r="J36" s="95" t="e">
        <f>(1-(0.287*($Q36+$T36)+0.059*($R36+$S36))/(SUM($Q36:$T36)))*(SUMPRODUCT(Calc!$Y36:$AN36,Calc!$BO$5:$CD$5)-SUMPRODUCT($U36:$X36,Calc!$BK$5:$BN$5)+SUMPRODUCT($AS36:$BH36,Calc!$BO$5:$CD$5)-SUMPRODUCT(Calc!$AO36:$AR36,Calc!$BK$5:$BN$5))</f>
        <v>#DIV/0!</v>
      </c>
      <c r="K36" s="120" t="str">
        <f t="shared" si="3"/>
        <v/>
      </c>
      <c r="L36" s="120" t="e">
        <f t="shared" si="4"/>
        <v>#VALUE!</v>
      </c>
      <c r="M36" s="100">
        <f>SUMPRODUCT($Q36:$T36,Calc!$BK$11:$BN$11)-79.2*2+17.01*2</f>
        <v>-124.38</v>
      </c>
      <c r="N36" s="125">
        <f>1000*SUMPRODUCT($Y36:$AN36,Calc!$BO$6:$CD$6)/(-10.8+SUMPRODUCT($Y36:$AN36,Calc!$BO$7:$CD$7)+1.987*LN($O$3*POWER(10,-6)/4))-273.15+16.6*LOG10($N$3*POWER(10,-3))</f>
        <v>-294.74709792802207</v>
      </c>
      <c r="O36" s="127">
        <f t="shared" si="0"/>
        <v>0</v>
      </c>
      <c r="P36" s="135" t="e">
        <f t="shared" si="5"/>
        <v>#DIV/0!</v>
      </c>
      <c r="Q36" s="118">
        <f t="shared" si="6"/>
        <v>0</v>
      </c>
      <c r="R36" s="98">
        <f t="shared" si="6"/>
        <v>0</v>
      </c>
      <c r="S36" s="98">
        <f t="shared" si="6"/>
        <v>0</v>
      </c>
      <c r="T36" s="98">
        <f t="shared" si="6"/>
        <v>0</v>
      </c>
      <c r="U36" s="98">
        <f t="shared" si="7"/>
        <v>0</v>
      </c>
      <c r="V36" s="98">
        <f t="shared" si="8"/>
        <v>0</v>
      </c>
      <c r="W36" s="98">
        <f t="shared" si="9"/>
        <v>0</v>
      </c>
      <c r="X36" s="98">
        <f t="shared" si="10"/>
        <v>0</v>
      </c>
      <c r="Y36" s="98">
        <f t="shared" si="11"/>
        <v>0</v>
      </c>
      <c r="Z36" s="98">
        <f t="shared" si="12"/>
        <v>0</v>
      </c>
      <c r="AA36" s="98">
        <f t="shared" si="13"/>
        <v>0</v>
      </c>
      <c r="AB36" s="98">
        <f t="shared" si="14"/>
        <v>0</v>
      </c>
      <c r="AC36" s="98">
        <f t="shared" si="15"/>
        <v>0</v>
      </c>
      <c r="AD36" s="98">
        <f t="shared" si="16"/>
        <v>0</v>
      </c>
      <c r="AE36" s="98">
        <f t="shared" si="17"/>
        <v>0</v>
      </c>
      <c r="AF36" s="98">
        <f t="shared" si="18"/>
        <v>0</v>
      </c>
      <c r="AG36" s="98">
        <f t="shared" si="19"/>
        <v>0</v>
      </c>
      <c r="AH36" s="98">
        <f t="shared" si="20"/>
        <v>0</v>
      </c>
      <c r="AI36" s="98">
        <f t="shared" si="21"/>
        <v>0</v>
      </c>
      <c r="AJ36" s="98">
        <f t="shared" si="22"/>
        <v>0</v>
      </c>
      <c r="AK36" s="98">
        <f t="shared" si="23"/>
        <v>0</v>
      </c>
      <c r="AL36" s="98">
        <f t="shared" si="24"/>
        <v>0</v>
      </c>
      <c r="AM36" s="98">
        <f t="shared" si="25"/>
        <v>0</v>
      </c>
      <c r="AN36" s="100">
        <f t="shared" si="26"/>
        <v>0</v>
      </c>
      <c r="AO36" s="118">
        <f t="shared" si="27"/>
        <v>0</v>
      </c>
      <c r="AP36" s="98">
        <f t="shared" si="28"/>
        <v>0</v>
      </c>
      <c r="AQ36" s="98">
        <f t="shared" si="29"/>
        <v>0</v>
      </c>
      <c r="AR36" s="98">
        <f t="shared" si="30"/>
        <v>0</v>
      </c>
      <c r="AS36" s="98">
        <f t="shared" si="31"/>
        <v>0</v>
      </c>
      <c r="AT36" s="98">
        <f t="shared" si="32"/>
        <v>0</v>
      </c>
      <c r="AU36" s="98">
        <f t="shared" si="33"/>
        <v>0</v>
      </c>
      <c r="AV36" s="98">
        <f t="shared" si="34"/>
        <v>0</v>
      </c>
      <c r="AW36" s="98">
        <f t="shared" si="35"/>
        <v>0</v>
      </c>
      <c r="AX36" s="98">
        <f t="shared" si="36"/>
        <v>0</v>
      </c>
      <c r="AY36" s="98">
        <f t="shared" si="37"/>
        <v>0</v>
      </c>
      <c r="AZ36" s="98">
        <f t="shared" si="38"/>
        <v>0</v>
      </c>
      <c r="BA36" s="98">
        <f t="shared" si="39"/>
        <v>0</v>
      </c>
      <c r="BB36" s="98">
        <f t="shared" si="40"/>
        <v>0</v>
      </c>
      <c r="BC36" s="98">
        <f t="shared" si="41"/>
        <v>0</v>
      </c>
      <c r="BD36" s="98">
        <f t="shared" si="42"/>
        <v>0</v>
      </c>
      <c r="BE36" s="98">
        <f t="shared" si="43"/>
        <v>0</v>
      </c>
      <c r="BF36" s="98">
        <f t="shared" si="44"/>
        <v>0</v>
      </c>
      <c r="BG36" s="98">
        <f t="shared" si="45"/>
        <v>0</v>
      </c>
      <c r="BH36" s="100">
        <f t="shared" si="46"/>
        <v>0</v>
      </c>
    </row>
    <row r="37" spans="2:60" ht="14.5" customHeight="1">
      <c r="B37" s="130"/>
      <c r="C37" s="96"/>
      <c r="D37" s="97" t="str" cm="1">
        <f t="array" ref="D37">IFERROR(_xlfn.TEXTJOIN("", TRUE, MID(C37, _xlfn.SEQUENCE(LEN(C37), 1, LEN(C37), -1), 1)),"")</f>
        <v/>
      </c>
      <c r="E37" s="99"/>
      <c r="F37" s="95">
        <f>SUMPRODUCT($Y37:$AN37,Calc!$BO$5:$CD$5)-SUMPRODUCT(Calc!$U37:$X37,Calc!$BK$5:$BN$5)</f>
        <v>0</v>
      </c>
      <c r="G37" s="122" t="str">
        <f t="shared" si="1"/>
        <v/>
      </c>
      <c r="H37" s="120" t="e">
        <f t="shared" si="2"/>
        <v>#VALUE!</v>
      </c>
      <c r="I37" s="100">
        <f>SUMPRODUCT($Q37:$T37,Calc!$BK$10:$BN$10)-62.03</f>
        <v>-62.03</v>
      </c>
      <c r="J37" s="95" t="e">
        <f>(1-(0.287*($Q37+$T37)+0.059*($R37+$S37))/(SUM($Q37:$T37)))*(SUMPRODUCT(Calc!$Y37:$AN37,Calc!$BO$5:$CD$5)-SUMPRODUCT($U37:$X37,Calc!$BK$5:$BN$5)+SUMPRODUCT($AS37:$BH37,Calc!$BO$5:$CD$5)-SUMPRODUCT(Calc!$AO37:$AR37,Calc!$BK$5:$BN$5))</f>
        <v>#DIV/0!</v>
      </c>
      <c r="K37" s="120" t="str">
        <f t="shared" si="3"/>
        <v/>
      </c>
      <c r="L37" s="120" t="e">
        <f t="shared" si="4"/>
        <v>#VALUE!</v>
      </c>
      <c r="M37" s="100">
        <f>SUMPRODUCT($Q37:$T37,Calc!$BK$11:$BN$11)-79.2*2+17.01*2</f>
        <v>-124.38</v>
      </c>
      <c r="N37" s="125">
        <f>1000*SUMPRODUCT($Y37:$AN37,Calc!$BO$6:$CD$6)/(-10.8+SUMPRODUCT($Y37:$AN37,Calc!$BO$7:$CD$7)+1.987*LN($O$3*POWER(10,-6)/4))-273.15+16.6*LOG10($N$3*POWER(10,-3))</f>
        <v>-294.74709792802207</v>
      </c>
      <c r="O37" s="127">
        <f t="shared" si="0"/>
        <v>0</v>
      </c>
      <c r="P37" s="135" t="e">
        <f t="shared" si="5"/>
        <v>#DIV/0!</v>
      </c>
      <c r="Q37" s="118">
        <f t="shared" si="6"/>
        <v>0</v>
      </c>
      <c r="R37" s="98">
        <f t="shared" si="6"/>
        <v>0</v>
      </c>
      <c r="S37" s="98">
        <f t="shared" si="6"/>
        <v>0</v>
      </c>
      <c r="T37" s="98">
        <f t="shared" si="6"/>
        <v>0</v>
      </c>
      <c r="U37" s="98">
        <f t="shared" si="7"/>
        <v>0</v>
      </c>
      <c r="V37" s="98">
        <f t="shared" si="8"/>
        <v>0</v>
      </c>
      <c r="W37" s="98">
        <f t="shared" si="9"/>
        <v>0</v>
      </c>
      <c r="X37" s="98">
        <f t="shared" si="10"/>
        <v>0</v>
      </c>
      <c r="Y37" s="98">
        <f t="shared" si="11"/>
        <v>0</v>
      </c>
      <c r="Z37" s="98">
        <f t="shared" si="12"/>
        <v>0</v>
      </c>
      <c r="AA37" s="98">
        <f t="shared" si="13"/>
        <v>0</v>
      </c>
      <c r="AB37" s="98">
        <f t="shared" si="14"/>
        <v>0</v>
      </c>
      <c r="AC37" s="98">
        <f t="shared" si="15"/>
        <v>0</v>
      </c>
      <c r="AD37" s="98">
        <f t="shared" si="16"/>
        <v>0</v>
      </c>
      <c r="AE37" s="98">
        <f t="shared" si="17"/>
        <v>0</v>
      </c>
      <c r="AF37" s="98">
        <f t="shared" si="18"/>
        <v>0</v>
      </c>
      <c r="AG37" s="98">
        <f t="shared" si="19"/>
        <v>0</v>
      </c>
      <c r="AH37" s="98">
        <f t="shared" si="20"/>
        <v>0</v>
      </c>
      <c r="AI37" s="98">
        <f t="shared" si="21"/>
        <v>0</v>
      </c>
      <c r="AJ37" s="98">
        <f t="shared" si="22"/>
        <v>0</v>
      </c>
      <c r="AK37" s="98">
        <f t="shared" si="23"/>
        <v>0</v>
      </c>
      <c r="AL37" s="98">
        <f t="shared" si="24"/>
        <v>0</v>
      </c>
      <c r="AM37" s="98">
        <f t="shared" si="25"/>
        <v>0</v>
      </c>
      <c r="AN37" s="100">
        <f t="shared" si="26"/>
        <v>0</v>
      </c>
      <c r="AO37" s="118">
        <f t="shared" si="27"/>
        <v>0</v>
      </c>
      <c r="AP37" s="98">
        <f t="shared" si="28"/>
        <v>0</v>
      </c>
      <c r="AQ37" s="98">
        <f t="shared" si="29"/>
        <v>0</v>
      </c>
      <c r="AR37" s="98">
        <f t="shared" si="30"/>
        <v>0</v>
      </c>
      <c r="AS37" s="98">
        <f t="shared" si="31"/>
        <v>0</v>
      </c>
      <c r="AT37" s="98">
        <f t="shared" si="32"/>
        <v>0</v>
      </c>
      <c r="AU37" s="98">
        <f t="shared" si="33"/>
        <v>0</v>
      </c>
      <c r="AV37" s="98">
        <f t="shared" si="34"/>
        <v>0</v>
      </c>
      <c r="AW37" s="98">
        <f t="shared" si="35"/>
        <v>0</v>
      </c>
      <c r="AX37" s="98">
        <f t="shared" si="36"/>
        <v>0</v>
      </c>
      <c r="AY37" s="98">
        <f t="shared" si="37"/>
        <v>0</v>
      </c>
      <c r="AZ37" s="98">
        <f t="shared" si="38"/>
        <v>0</v>
      </c>
      <c r="BA37" s="98">
        <f t="shared" si="39"/>
        <v>0</v>
      </c>
      <c r="BB37" s="98">
        <f t="shared" si="40"/>
        <v>0</v>
      </c>
      <c r="BC37" s="98">
        <f t="shared" si="41"/>
        <v>0</v>
      </c>
      <c r="BD37" s="98">
        <f t="shared" si="42"/>
        <v>0</v>
      </c>
      <c r="BE37" s="98">
        <f t="shared" si="43"/>
        <v>0</v>
      </c>
      <c r="BF37" s="98">
        <f t="shared" si="44"/>
        <v>0</v>
      </c>
      <c r="BG37" s="98">
        <f t="shared" si="45"/>
        <v>0</v>
      </c>
      <c r="BH37" s="100">
        <f t="shared" si="46"/>
        <v>0</v>
      </c>
    </row>
    <row r="38" spans="2:60" ht="14.5" customHeight="1">
      <c r="B38" s="130"/>
      <c r="C38" s="96"/>
      <c r="D38" s="97" t="str" cm="1">
        <f t="array" ref="D38">IFERROR(_xlfn.TEXTJOIN("", TRUE, MID(C38, _xlfn.SEQUENCE(LEN(C38), 1, LEN(C38), -1), 1)),"")</f>
        <v/>
      </c>
      <c r="E38" s="99"/>
      <c r="F38" s="95">
        <f>SUMPRODUCT($Y38:$AN38,Calc!$BO$5:$CD$5)-SUMPRODUCT(Calc!$U38:$X38,Calc!$BK$5:$BN$5)</f>
        <v>0</v>
      </c>
      <c r="G38" s="122" t="str">
        <f t="shared" si="1"/>
        <v/>
      </c>
      <c r="H38" s="120" t="e">
        <f t="shared" si="2"/>
        <v>#VALUE!</v>
      </c>
      <c r="I38" s="100">
        <f>SUMPRODUCT($Q38:$T38,Calc!$BK$10:$BN$10)-62.03</f>
        <v>-62.03</v>
      </c>
      <c r="J38" s="95" t="e">
        <f>(1-(0.287*($Q38+$T38)+0.059*($R38+$S38))/(SUM($Q38:$T38)))*(SUMPRODUCT(Calc!$Y38:$AN38,Calc!$BO$5:$CD$5)-SUMPRODUCT($U38:$X38,Calc!$BK$5:$BN$5)+SUMPRODUCT($AS38:$BH38,Calc!$BO$5:$CD$5)-SUMPRODUCT(Calc!$AO38:$AR38,Calc!$BK$5:$BN$5))</f>
        <v>#DIV/0!</v>
      </c>
      <c r="K38" s="120" t="str">
        <f t="shared" si="3"/>
        <v/>
      </c>
      <c r="L38" s="120" t="e">
        <f t="shared" si="4"/>
        <v>#VALUE!</v>
      </c>
      <c r="M38" s="100">
        <f>SUMPRODUCT($Q38:$T38,Calc!$BK$11:$BN$11)-79.2*2+17.01*2</f>
        <v>-124.38</v>
      </c>
      <c r="N38" s="125">
        <f>1000*SUMPRODUCT($Y38:$AN38,Calc!$BO$6:$CD$6)/(-10.8+SUMPRODUCT($Y38:$AN38,Calc!$BO$7:$CD$7)+1.987*LN($O$3*POWER(10,-6)/4))-273.15+16.6*LOG10($N$3*POWER(10,-3))</f>
        <v>-294.74709792802207</v>
      </c>
      <c r="O38" s="127">
        <f t="shared" ref="O38:O55" si="47">2*($Q38+$T38)+4*($R38+$S38)</f>
        <v>0</v>
      </c>
      <c r="P38" s="135" t="e">
        <f t="shared" si="5"/>
        <v>#DIV/0!</v>
      </c>
      <c r="Q38" s="118">
        <f t="shared" si="6"/>
        <v>0</v>
      </c>
      <c r="R38" s="98">
        <f t="shared" si="6"/>
        <v>0</v>
      </c>
      <c r="S38" s="98">
        <f t="shared" si="6"/>
        <v>0</v>
      </c>
      <c r="T38" s="98">
        <f t="shared" si="6"/>
        <v>0</v>
      </c>
      <c r="U38" s="98">
        <f t="shared" si="7"/>
        <v>0</v>
      </c>
      <c r="V38" s="98">
        <f t="shared" si="8"/>
        <v>0</v>
      </c>
      <c r="W38" s="98">
        <f t="shared" si="9"/>
        <v>0</v>
      </c>
      <c r="X38" s="98">
        <f t="shared" si="10"/>
        <v>0</v>
      </c>
      <c r="Y38" s="98">
        <f t="shared" si="11"/>
        <v>0</v>
      </c>
      <c r="Z38" s="98">
        <f t="shared" si="12"/>
        <v>0</v>
      </c>
      <c r="AA38" s="98">
        <f t="shared" si="13"/>
        <v>0</v>
      </c>
      <c r="AB38" s="98">
        <f t="shared" si="14"/>
        <v>0</v>
      </c>
      <c r="AC38" s="98">
        <f t="shared" si="15"/>
        <v>0</v>
      </c>
      <c r="AD38" s="98">
        <f t="shared" si="16"/>
        <v>0</v>
      </c>
      <c r="AE38" s="98">
        <f t="shared" si="17"/>
        <v>0</v>
      </c>
      <c r="AF38" s="98">
        <f t="shared" si="18"/>
        <v>0</v>
      </c>
      <c r="AG38" s="98">
        <f t="shared" si="19"/>
        <v>0</v>
      </c>
      <c r="AH38" s="98">
        <f t="shared" si="20"/>
        <v>0</v>
      </c>
      <c r="AI38" s="98">
        <f t="shared" si="21"/>
        <v>0</v>
      </c>
      <c r="AJ38" s="98">
        <f t="shared" si="22"/>
        <v>0</v>
      </c>
      <c r="AK38" s="98">
        <f t="shared" si="23"/>
        <v>0</v>
      </c>
      <c r="AL38" s="98">
        <f t="shared" si="24"/>
        <v>0</v>
      </c>
      <c r="AM38" s="98">
        <f t="shared" si="25"/>
        <v>0</v>
      </c>
      <c r="AN38" s="100">
        <f t="shared" si="26"/>
        <v>0</v>
      </c>
      <c r="AO38" s="118">
        <f t="shared" si="27"/>
        <v>0</v>
      </c>
      <c r="AP38" s="98">
        <f t="shared" si="28"/>
        <v>0</v>
      </c>
      <c r="AQ38" s="98">
        <f t="shared" si="29"/>
        <v>0</v>
      </c>
      <c r="AR38" s="98">
        <f t="shared" si="30"/>
        <v>0</v>
      </c>
      <c r="AS38" s="98">
        <f t="shared" si="31"/>
        <v>0</v>
      </c>
      <c r="AT38" s="98">
        <f t="shared" si="32"/>
        <v>0</v>
      </c>
      <c r="AU38" s="98">
        <f t="shared" si="33"/>
        <v>0</v>
      </c>
      <c r="AV38" s="98">
        <f t="shared" si="34"/>
        <v>0</v>
      </c>
      <c r="AW38" s="98">
        <f t="shared" si="35"/>
        <v>0</v>
      </c>
      <c r="AX38" s="98">
        <f t="shared" si="36"/>
        <v>0</v>
      </c>
      <c r="AY38" s="98">
        <f t="shared" si="37"/>
        <v>0</v>
      </c>
      <c r="AZ38" s="98">
        <f t="shared" si="38"/>
        <v>0</v>
      </c>
      <c r="BA38" s="98">
        <f t="shared" si="39"/>
        <v>0</v>
      </c>
      <c r="BB38" s="98">
        <f t="shared" si="40"/>
        <v>0</v>
      </c>
      <c r="BC38" s="98">
        <f t="shared" si="41"/>
        <v>0</v>
      </c>
      <c r="BD38" s="98">
        <f t="shared" si="42"/>
        <v>0</v>
      </c>
      <c r="BE38" s="98">
        <f t="shared" si="43"/>
        <v>0</v>
      </c>
      <c r="BF38" s="98">
        <f t="shared" si="44"/>
        <v>0</v>
      </c>
      <c r="BG38" s="98">
        <f t="shared" si="45"/>
        <v>0</v>
      </c>
      <c r="BH38" s="100">
        <f t="shared" si="46"/>
        <v>0</v>
      </c>
    </row>
    <row r="39" spans="2:60" ht="14.5" customHeight="1">
      <c r="B39" s="130"/>
      <c r="C39" s="96"/>
      <c r="D39" s="97" t="str" cm="1">
        <f t="array" ref="D39">IFERROR(_xlfn.TEXTJOIN("", TRUE, MID(C39, _xlfn.SEQUENCE(LEN(C39), 1, LEN(C39), -1), 1)),"")</f>
        <v/>
      </c>
      <c r="E39" s="99"/>
      <c r="F39" s="95">
        <f>SUMPRODUCT($Y39:$AN39,Calc!$BO$5:$CD$5)-SUMPRODUCT(Calc!$U39:$X39,Calc!$BK$5:$BN$5)</f>
        <v>0</v>
      </c>
      <c r="G39" s="122" t="str">
        <f t="shared" si="1"/>
        <v/>
      </c>
      <c r="H39" s="120" t="e">
        <f t="shared" si="2"/>
        <v>#VALUE!</v>
      </c>
      <c r="I39" s="100">
        <f>SUMPRODUCT($Q39:$T39,Calc!$BK$10:$BN$10)-62.03</f>
        <v>-62.03</v>
      </c>
      <c r="J39" s="95" t="e">
        <f>(1-(0.287*($Q39+$T39)+0.059*($R39+$S39))/(SUM($Q39:$T39)))*(SUMPRODUCT(Calc!$Y39:$AN39,Calc!$BO$5:$CD$5)-SUMPRODUCT($U39:$X39,Calc!$BK$5:$BN$5)+SUMPRODUCT($AS39:$BH39,Calc!$BO$5:$CD$5)-SUMPRODUCT(Calc!$AO39:$AR39,Calc!$BK$5:$BN$5))</f>
        <v>#DIV/0!</v>
      </c>
      <c r="K39" s="120" t="str">
        <f t="shared" si="3"/>
        <v/>
      </c>
      <c r="L39" s="120" t="e">
        <f t="shared" si="4"/>
        <v>#VALUE!</v>
      </c>
      <c r="M39" s="100">
        <f>SUMPRODUCT($Q39:$T39,Calc!$BK$11:$BN$11)-79.2*2+17.01*2</f>
        <v>-124.38</v>
      </c>
      <c r="N39" s="125">
        <f>1000*SUMPRODUCT($Y39:$AN39,Calc!$BO$6:$CD$6)/(-10.8+SUMPRODUCT($Y39:$AN39,Calc!$BO$7:$CD$7)+1.987*LN($O$3*POWER(10,-6)/4))-273.15+16.6*LOG10($N$3*POWER(10,-3))</f>
        <v>-294.74709792802207</v>
      </c>
      <c r="O39" s="127">
        <f t="shared" si="47"/>
        <v>0</v>
      </c>
      <c r="P39" s="135" t="e">
        <f t="shared" si="5"/>
        <v>#DIV/0!</v>
      </c>
      <c r="Q39" s="118">
        <f t="shared" si="6"/>
        <v>0</v>
      </c>
      <c r="R39" s="98">
        <f t="shared" si="6"/>
        <v>0</v>
      </c>
      <c r="S39" s="98">
        <f t="shared" si="6"/>
        <v>0</v>
      </c>
      <c r="T39" s="98">
        <f t="shared" si="6"/>
        <v>0</v>
      </c>
      <c r="U39" s="98">
        <f t="shared" si="7"/>
        <v>0</v>
      </c>
      <c r="V39" s="98">
        <f t="shared" si="8"/>
        <v>0</v>
      </c>
      <c r="W39" s="98">
        <f t="shared" si="9"/>
        <v>0</v>
      </c>
      <c r="X39" s="98">
        <f t="shared" si="10"/>
        <v>0</v>
      </c>
      <c r="Y39" s="98">
        <f t="shared" si="11"/>
        <v>0</v>
      </c>
      <c r="Z39" s="98">
        <f t="shared" si="12"/>
        <v>0</v>
      </c>
      <c r="AA39" s="98">
        <f t="shared" si="13"/>
        <v>0</v>
      </c>
      <c r="AB39" s="98">
        <f t="shared" si="14"/>
        <v>0</v>
      </c>
      <c r="AC39" s="98">
        <f t="shared" si="15"/>
        <v>0</v>
      </c>
      <c r="AD39" s="98">
        <f t="shared" si="16"/>
        <v>0</v>
      </c>
      <c r="AE39" s="98">
        <f t="shared" si="17"/>
        <v>0</v>
      </c>
      <c r="AF39" s="98">
        <f t="shared" si="18"/>
        <v>0</v>
      </c>
      <c r="AG39" s="98">
        <f t="shared" si="19"/>
        <v>0</v>
      </c>
      <c r="AH39" s="98">
        <f t="shared" si="20"/>
        <v>0</v>
      </c>
      <c r="AI39" s="98">
        <f t="shared" si="21"/>
        <v>0</v>
      </c>
      <c r="AJ39" s="98">
        <f t="shared" si="22"/>
        <v>0</v>
      </c>
      <c r="AK39" s="98">
        <f t="shared" si="23"/>
        <v>0</v>
      </c>
      <c r="AL39" s="98">
        <f t="shared" si="24"/>
        <v>0</v>
      </c>
      <c r="AM39" s="98">
        <f t="shared" si="25"/>
        <v>0</v>
      </c>
      <c r="AN39" s="100">
        <f t="shared" si="26"/>
        <v>0</v>
      </c>
      <c r="AO39" s="118">
        <f t="shared" si="27"/>
        <v>0</v>
      </c>
      <c r="AP39" s="98">
        <f t="shared" si="28"/>
        <v>0</v>
      </c>
      <c r="AQ39" s="98">
        <f t="shared" si="29"/>
        <v>0</v>
      </c>
      <c r="AR39" s="98">
        <f t="shared" si="30"/>
        <v>0</v>
      </c>
      <c r="AS39" s="98">
        <f t="shared" si="31"/>
        <v>0</v>
      </c>
      <c r="AT39" s="98">
        <f t="shared" si="32"/>
        <v>0</v>
      </c>
      <c r="AU39" s="98">
        <f t="shared" si="33"/>
        <v>0</v>
      </c>
      <c r="AV39" s="98">
        <f t="shared" si="34"/>
        <v>0</v>
      </c>
      <c r="AW39" s="98">
        <f t="shared" si="35"/>
        <v>0</v>
      </c>
      <c r="AX39" s="98">
        <f t="shared" si="36"/>
        <v>0</v>
      </c>
      <c r="AY39" s="98">
        <f t="shared" si="37"/>
        <v>0</v>
      </c>
      <c r="AZ39" s="98">
        <f t="shared" si="38"/>
        <v>0</v>
      </c>
      <c r="BA39" s="98">
        <f t="shared" si="39"/>
        <v>0</v>
      </c>
      <c r="BB39" s="98">
        <f t="shared" si="40"/>
        <v>0</v>
      </c>
      <c r="BC39" s="98">
        <f t="shared" si="41"/>
        <v>0</v>
      </c>
      <c r="BD39" s="98">
        <f t="shared" si="42"/>
        <v>0</v>
      </c>
      <c r="BE39" s="98">
        <f t="shared" si="43"/>
        <v>0</v>
      </c>
      <c r="BF39" s="98">
        <f t="shared" si="44"/>
        <v>0</v>
      </c>
      <c r="BG39" s="98">
        <f t="shared" si="45"/>
        <v>0</v>
      </c>
      <c r="BH39" s="100">
        <f t="shared" si="46"/>
        <v>0</v>
      </c>
    </row>
    <row r="40" spans="2:60" ht="14.5" customHeight="1">
      <c r="B40" s="130"/>
      <c r="C40" s="96"/>
      <c r="D40" s="97" t="str" cm="1">
        <f t="array" ref="D40">IFERROR(_xlfn.TEXTJOIN("", TRUE, MID(C40, _xlfn.SEQUENCE(LEN(C40), 1, LEN(C40), -1), 1)),"")</f>
        <v/>
      </c>
      <c r="E40" s="99"/>
      <c r="F40" s="95">
        <f>SUMPRODUCT($Y40:$AN40,Calc!$BO$5:$CD$5)-SUMPRODUCT(Calc!$U40:$X40,Calc!$BK$5:$BN$5)</f>
        <v>0</v>
      </c>
      <c r="G40" s="122" t="str">
        <f t="shared" si="1"/>
        <v/>
      </c>
      <c r="H40" s="120" t="e">
        <f t="shared" si="2"/>
        <v>#VALUE!</v>
      </c>
      <c r="I40" s="100">
        <f>SUMPRODUCT($Q40:$T40,Calc!$BK$10:$BN$10)-62.03</f>
        <v>-62.03</v>
      </c>
      <c r="J40" s="95" t="e">
        <f>(1-(0.287*($Q40+$T40)+0.059*($R40+$S40))/(SUM($Q40:$T40)))*(SUMPRODUCT(Calc!$Y40:$AN40,Calc!$BO$5:$CD$5)-SUMPRODUCT($U40:$X40,Calc!$BK$5:$BN$5)+SUMPRODUCT($AS40:$BH40,Calc!$BO$5:$CD$5)-SUMPRODUCT(Calc!$AO40:$AR40,Calc!$BK$5:$BN$5))</f>
        <v>#DIV/0!</v>
      </c>
      <c r="K40" s="120" t="str">
        <f t="shared" si="3"/>
        <v/>
      </c>
      <c r="L40" s="120" t="e">
        <f t="shared" si="4"/>
        <v>#VALUE!</v>
      </c>
      <c r="M40" s="100">
        <f>SUMPRODUCT($Q40:$T40,Calc!$BK$11:$BN$11)-79.2*2+17.01*2</f>
        <v>-124.38</v>
      </c>
      <c r="N40" s="125">
        <f>1000*SUMPRODUCT($Y40:$AN40,Calc!$BO$6:$CD$6)/(-10.8+SUMPRODUCT($Y40:$AN40,Calc!$BO$7:$CD$7)+1.987*LN($O$3*POWER(10,-6)/4))-273.15+16.6*LOG10($N$3*POWER(10,-3))</f>
        <v>-294.74709792802207</v>
      </c>
      <c r="O40" s="127">
        <f t="shared" si="47"/>
        <v>0</v>
      </c>
      <c r="P40" s="135" t="e">
        <f t="shared" si="5"/>
        <v>#DIV/0!</v>
      </c>
      <c r="Q40" s="118">
        <f t="shared" si="6"/>
        <v>0</v>
      </c>
      <c r="R40" s="98">
        <f t="shared" si="6"/>
        <v>0</v>
      </c>
      <c r="S40" s="98">
        <f t="shared" si="6"/>
        <v>0</v>
      </c>
      <c r="T40" s="98">
        <f t="shared" si="6"/>
        <v>0</v>
      </c>
      <c r="U40" s="98">
        <f t="shared" si="7"/>
        <v>0</v>
      </c>
      <c r="V40" s="98">
        <f t="shared" si="8"/>
        <v>0</v>
      </c>
      <c r="W40" s="98">
        <f t="shared" si="9"/>
        <v>0</v>
      </c>
      <c r="X40" s="98">
        <f t="shared" si="10"/>
        <v>0</v>
      </c>
      <c r="Y40" s="98">
        <f t="shared" si="11"/>
        <v>0</v>
      </c>
      <c r="Z40" s="98">
        <f t="shared" si="12"/>
        <v>0</v>
      </c>
      <c r="AA40" s="98">
        <f t="shared" si="13"/>
        <v>0</v>
      </c>
      <c r="AB40" s="98">
        <f t="shared" si="14"/>
        <v>0</v>
      </c>
      <c r="AC40" s="98">
        <f t="shared" si="15"/>
        <v>0</v>
      </c>
      <c r="AD40" s="98">
        <f t="shared" si="16"/>
        <v>0</v>
      </c>
      <c r="AE40" s="98">
        <f t="shared" si="17"/>
        <v>0</v>
      </c>
      <c r="AF40" s="98">
        <f t="shared" si="18"/>
        <v>0</v>
      </c>
      <c r="AG40" s="98">
        <f t="shared" si="19"/>
        <v>0</v>
      </c>
      <c r="AH40" s="98">
        <f t="shared" si="20"/>
        <v>0</v>
      </c>
      <c r="AI40" s="98">
        <f t="shared" si="21"/>
        <v>0</v>
      </c>
      <c r="AJ40" s="98">
        <f t="shared" si="22"/>
        <v>0</v>
      </c>
      <c r="AK40" s="98">
        <f t="shared" si="23"/>
        <v>0</v>
      </c>
      <c r="AL40" s="98">
        <f t="shared" si="24"/>
        <v>0</v>
      </c>
      <c r="AM40" s="98">
        <f t="shared" si="25"/>
        <v>0</v>
      </c>
      <c r="AN40" s="100">
        <f t="shared" si="26"/>
        <v>0</v>
      </c>
      <c r="AO40" s="118">
        <f t="shared" si="27"/>
        <v>0</v>
      </c>
      <c r="AP40" s="98">
        <f t="shared" si="28"/>
        <v>0</v>
      </c>
      <c r="AQ40" s="98">
        <f t="shared" si="29"/>
        <v>0</v>
      </c>
      <c r="AR40" s="98">
        <f t="shared" si="30"/>
        <v>0</v>
      </c>
      <c r="AS40" s="98">
        <f t="shared" si="31"/>
        <v>0</v>
      </c>
      <c r="AT40" s="98">
        <f t="shared" si="32"/>
        <v>0</v>
      </c>
      <c r="AU40" s="98">
        <f t="shared" si="33"/>
        <v>0</v>
      </c>
      <c r="AV40" s="98">
        <f t="shared" si="34"/>
        <v>0</v>
      </c>
      <c r="AW40" s="98">
        <f t="shared" si="35"/>
        <v>0</v>
      </c>
      <c r="AX40" s="98">
        <f t="shared" si="36"/>
        <v>0</v>
      </c>
      <c r="AY40" s="98">
        <f t="shared" si="37"/>
        <v>0</v>
      </c>
      <c r="AZ40" s="98">
        <f t="shared" si="38"/>
        <v>0</v>
      </c>
      <c r="BA40" s="98">
        <f t="shared" si="39"/>
        <v>0</v>
      </c>
      <c r="BB40" s="98">
        <f t="shared" si="40"/>
        <v>0</v>
      </c>
      <c r="BC40" s="98">
        <f t="shared" si="41"/>
        <v>0</v>
      </c>
      <c r="BD40" s="98">
        <f t="shared" si="42"/>
        <v>0</v>
      </c>
      <c r="BE40" s="98">
        <f t="shared" si="43"/>
        <v>0</v>
      </c>
      <c r="BF40" s="98">
        <f t="shared" si="44"/>
        <v>0</v>
      </c>
      <c r="BG40" s="98">
        <f t="shared" si="45"/>
        <v>0</v>
      </c>
      <c r="BH40" s="100">
        <f t="shared" si="46"/>
        <v>0</v>
      </c>
    </row>
    <row r="41" spans="2:60" ht="14.5" customHeight="1">
      <c r="B41" s="130"/>
      <c r="C41" s="96"/>
      <c r="D41" s="97" t="str" cm="1">
        <f t="array" ref="D41">IFERROR(_xlfn.TEXTJOIN("", TRUE, MID(C41, _xlfn.SEQUENCE(LEN(C41), 1, LEN(C41), -1), 1)),"")</f>
        <v/>
      </c>
      <c r="E41" s="99"/>
      <c r="F41" s="95">
        <f>SUMPRODUCT($Y41:$AN41,Calc!$BO$5:$CD$5)-SUMPRODUCT(Calc!$U41:$X41,Calc!$BK$5:$BN$5)</f>
        <v>0</v>
      </c>
      <c r="G41" s="122" t="str">
        <f t="shared" si="1"/>
        <v/>
      </c>
      <c r="H41" s="120" t="e">
        <f t="shared" si="2"/>
        <v>#VALUE!</v>
      </c>
      <c r="I41" s="100">
        <f>SUMPRODUCT($Q41:$T41,Calc!$BK$10:$BN$10)-62.03</f>
        <v>-62.03</v>
      </c>
      <c r="J41" s="95" t="e">
        <f>(1-(0.287*($Q41+$T41)+0.059*($R41+$S41))/(SUM($Q41:$T41)))*(SUMPRODUCT(Calc!$Y41:$AN41,Calc!$BO$5:$CD$5)-SUMPRODUCT($U41:$X41,Calc!$BK$5:$BN$5)+SUMPRODUCT($AS41:$BH41,Calc!$BO$5:$CD$5)-SUMPRODUCT(Calc!$AO41:$AR41,Calc!$BK$5:$BN$5))</f>
        <v>#DIV/0!</v>
      </c>
      <c r="K41" s="120" t="str">
        <f t="shared" si="3"/>
        <v/>
      </c>
      <c r="L41" s="120" t="e">
        <f t="shared" si="4"/>
        <v>#VALUE!</v>
      </c>
      <c r="M41" s="100">
        <f>SUMPRODUCT($Q41:$T41,Calc!$BK$11:$BN$11)-79.2*2+17.01*2</f>
        <v>-124.38</v>
      </c>
      <c r="N41" s="125">
        <f>1000*SUMPRODUCT($Y41:$AN41,Calc!$BO$6:$CD$6)/(-10.8+SUMPRODUCT($Y41:$AN41,Calc!$BO$7:$CD$7)+1.987*LN($O$3*POWER(10,-6)/4))-273.15+16.6*LOG10($N$3*POWER(10,-3))</f>
        <v>-294.74709792802207</v>
      </c>
      <c r="O41" s="127">
        <f t="shared" si="47"/>
        <v>0</v>
      </c>
      <c r="P41" s="135" t="e">
        <f t="shared" si="5"/>
        <v>#DIV/0!</v>
      </c>
      <c r="Q41" s="118">
        <f t="shared" si="6"/>
        <v>0</v>
      </c>
      <c r="R41" s="98">
        <f t="shared" si="6"/>
        <v>0</v>
      </c>
      <c r="S41" s="98">
        <f t="shared" si="6"/>
        <v>0</v>
      </c>
      <c r="T41" s="98">
        <f t="shared" si="6"/>
        <v>0</v>
      </c>
      <c r="U41" s="98">
        <f t="shared" si="7"/>
        <v>0</v>
      </c>
      <c r="V41" s="98">
        <f t="shared" si="8"/>
        <v>0</v>
      </c>
      <c r="W41" s="98">
        <f t="shared" si="9"/>
        <v>0</v>
      </c>
      <c r="X41" s="98">
        <f t="shared" si="10"/>
        <v>0</v>
      </c>
      <c r="Y41" s="98">
        <f t="shared" si="11"/>
        <v>0</v>
      </c>
      <c r="Z41" s="98">
        <f t="shared" si="12"/>
        <v>0</v>
      </c>
      <c r="AA41" s="98">
        <f t="shared" si="13"/>
        <v>0</v>
      </c>
      <c r="AB41" s="98">
        <f t="shared" si="14"/>
        <v>0</v>
      </c>
      <c r="AC41" s="98">
        <f t="shared" si="15"/>
        <v>0</v>
      </c>
      <c r="AD41" s="98">
        <f t="shared" si="16"/>
        <v>0</v>
      </c>
      <c r="AE41" s="98">
        <f t="shared" si="17"/>
        <v>0</v>
      </c>
      <c r="AF41" s="98">
        <f t="shared" si="18"/>
        <v>0</v>
      </c>
      <c r="AG41" s="98">
        <f t="shared" si="19"/>
        <v>0</v>
      </c>
      <c r="AH41" s="98">
        <f t="shared" si="20"/>
        <v>0</v>
      </c>
      <c r="AI41" s="98">
        <f t="shared" si="21"/>
        <v>0</v>
      </c>
      <c r="AJ41" s="98">
        <f t="shared" si="22"/>
        <v>0</v>
      </c>
      <c r="AK41" s="98">
        <f t="shared" si="23"/>
        <v>0</v>
      </c>
      <c r="AL41" s="98">
        <f t="shared" si="24"/>
        <v>0</v>
      </c>
      <c r="AM41" s="98">
        <f t="shared" si="25"/>
        <v>0</v>
      </c>
      <c r="AN41" s="100">
        <f t="shared" si="26"/>
        <v>0</v>
      </c>
      <c r="AO41" s="118">
        <f t="shared" si="27"/>
        <v>0</v>
      </c>
      <c r="AP41" s="98">
        <f t="shared" si="28"/>
        <v>0</v>
      </c>
      <c r="AQ41" s="98">
        <f t="shared" si="29"/>
        <v>0</v>
      </c>
      <c r="AR41" s="98">
        <f t="shared" si="30"/>
        <v>0</v>
      </c>
      <c r="AS41" s="98">
        <f t="shared" si="31"/>
        <v>0</v>
      </c>
      <c r="AT41" s="98">
        <f t="shared" si="32"/>
        <v>0</v>
      </c>
      <c r="AU41" s="98">
        <f t="shared" si="33"/>
        <v>0</v>
      </c>
      <c r="AV41" s="98">
        <f t="shared" si="34"/>
        <v>0</v>
      </c>
      <c r="AW41" s="98">
        <f t="shared" si="35"/>
        <v>0</v>
      </c>
      <c r="AX41" s="98">
        <f t="shared" si="36"/>
        <v>0</v>
      </c>
      <c r="AY41" s="98">
        <f t="shared" si="37"/>
        <v>0</v>
      </c>
      <c r="AZ41" s="98">
        <f t="shared" si="38"/>
        <v>0</v>
      </c>
      <c r="BA41" s="98">
        <f t="shared" si="39"/>
        <v>0</v>
      </c>
      <c r="BB41" s="98">
        <f t="shared" si="40"/>
        <v>0</v>
      </c>
      <c r="BC41" s="98">
        <f t="shared" si="41"/>
        <v>0</v>
      </c>
      <c r="BD41" s="98">
        <f t="shared" si="42"/>
        <v>0</v>
      </c>
      <c r="BE41" s="98">
        <f t="shared" si="43"/>
        <v>0</v>
      </c>
      <c r="BF41" s="98">
        <f t="shared" si="44"/>
        <v>0</v>
      </c>
      <c r="BG41" s="98">
        <f t="shared" si="45"/>
        <v>0</v>
      </c>
      <c r="BH41" s="100">
        <f t="shared" si="46"/>
        <v>0</v>
      </c>
    </row>
    <row r="42" spans="2:60" ht="14.5" customHeight="1">
      <c r="B42" s="130"/>
      <c r="C42" s="96"/>
      <c r="D42" s="97" t="str" cm="1">
        <f t="array" ref="D42">IFERROR(_xlfn.TEXTJOIN("", TRUE, MID(C42, _xlfn.SEQUENCE(LEN(C42), 1, LEN(C42), -1), 1)),"")</f>
        <v/>
      </c>
      <c r="E42" s="99"/>
      <c r="F42" s="95">
        <f>SUMPRODUCT($Y42:$AN42,Calc!$BO$5:$CD$5)-SUMPRODUCT(Calc!$U42:$X42,Calc!$BK$5:$BN$5)</f>
        <v>0</v>
      </c>
      <c r="G42" s="122" t="str">
        <f t="shared" si="1"/>
        <v/>
      </c>
      <c r="H42" s="120" t="e">
        <f t="shared" si="2"/>
        <v>#VALUE!</v>
      </c>
      <c r="I42" s="100">
        <f>SUMPRODUCT($Q42:$T42,Calc!$BK$10:$BN$10)-62.03</f>
        <v>-62.03</v>
      </c>
      <c r="J42" s="95" t="e">
        <f>(1-(0.287*($Q42+$T42)+0.059*($R42+$S42))/(SUM($Q42:$T42)))*(SUMPRODUCT(Calc!$Y42:$AN42,Calc!$BO$5:$CD$5)-SUMPRODUCT($U42:$X42,Calc!$BK$5:$BN$5)+SUMPRODUCT($AS42:$BH42,Calc!$BO$5:$CD$5)-SUMPRODUCT(Calc!$AO42:$AR42,Calc!$BK$5:$BN$5))</f>
        <v>#DIV/0!</v>
      </c>
      <c r="K42" s="120" t="str">
        <f t="shared" si="3"/>
        <v/>
      </c>
      <c r="L42" s="120" t="e">
        <f t="shared" si="4"/>
        <v>#VALUE!</v>
      </c>
      <c r="M42" s="100">
        <f>SUMPRODUCT($Q42:$T42,Calc!$BK$11:$BN$11)-79.2*2+17.01*2</f>
        <v>-124.38</v>
      </c>
      <c r="N42" s="125">
        <f>1000*SUMPRODUCT($Y42:$AN42,Calc!$BO$6:$CD$6)/(-10.8+SUMPRODUCT($Y42:$AN42,Calc!$BO$7:$CD$7)+1.987*LN($O$3*POWER(10,-6)/4))-273.15+16.6*LOG10($N$3*POWER(10,-3))</f>
        <v>-294.74709792802207</v>
      </c>
      <c r="O42" s="127">
        <f t="shared" si="47"/>
        <v>0</v>
      </c>
      <c r="P42" s="135" t="e">
        <f t="shared" si="5"/>
        <v>#DIV/0!</v>
      </c>
      <c r="Q42" s="118">
        <f t="shared" si="6"/>
        <v>0</v>
      </c>
      <c r="R42" s="98">
        <f t="shared" si="6"/>
        <v>0</v>
      </c>
      <c r="S42" s="98">
        <f t="shared" si="6"/>
        <v>0</v>
      </c>
      <c r="T42" s="98">
        <f t="shared" si="6"/>
        <v>0</v>
      </c>
      <c r="U42" s="98">
        <f t="shared" si="7"/>
        <v>0</v>
      </c>
      <c r="V42" s="98">
        <f t="shared" si="8"/>
        <v>0</v>
      </c>
      <c r="W42" s="98">
        <f t="shared" si="9"/>
        <v>0</v>
      </c>
      <c r="X42" s="98">
        <f t="shared" si="10"/>
        <v>0</v>
      </c>
      <c r="Y42" s="98">
        <f t="shared" si="11"/>
        <v>0</v>
      </c>
      <c r="Z42" s="98">
        <f t="shared" si="12"/>
        <v>0</v>
      </c>
      <c r="AA42" s="98">
        <f t="shared" si="13"/>
        <v>0</v>
      </c>
      <c r="AB42" s="98">
        <f t="shared" si="14"/>
        <v>0</v>
      </c>
      <c r="AC42" s="98">
        <f t="shared" si="15"/>
        <v>0</v>
      </c>
      <c r="AD42" s="98">
        <f t="shared" si="16"/>
        <v>0</v>
      </c>
      <c r="AE42" s="98">
        <f t="shared" si="17"/>
        <v>0</v>
      </c>
      <c r="AF42" s="98">
        <f t="shared" si="18"/>
        <v>0</v>
      </c>
      <c r="AG42" s="98">
        <f t="shared" si="19"/>
        <v>0</v>
      </c>
      <c r="AH42" s="98">
        <f t="shared" si="20"/>
        <v>0</v>
      </c>
      <c r="AI42" s="98">
        <f t="shared" si="21"/>
        <v>0</v>
      </c>
      <c r="AJ42" s="98">
        <f t="shared" si="22"/>
        <v>0</v>
      </c>
      <c r="AK42" s="98">
        <f t="shared" si="23"/>
        <v>0</v>
      </c>
      <c r="AL42" s="98">
        <f t="shared" si="24"/>
        <v>0</v>
      </c>
      <c r="AM42" s="98">
        <f t="shared" si="25"/>
        <v>0</v>
      </c>
      <c r="AN42" s="100">
        <f t="shared" si="26"/>
        <v>0</v>
      </c>
      <c r="AO42" s="118">
        <f t="shared" si="27"/>
        <v>0</v>
      </c>
      <c r="AP42" s="98">
        <f t="shared" si="28"/>
        <v>0</v>
      </c>
      <c r="AQ42" s="98">
        <f t="shared" si="29"/>
        <v>0</v>
      </c>
      <c r="AR42" s="98">
        <f t="shared" si="30"/>
        <v>0</v>
      </c>
      <c r="AS42" s="98">
        <f t="shared" si="31"/>
        <v>0</v>
      </c>
      <c r="AT42" s="98">
        <f t="shared" si="32"/>
        <v>0</v>
      </c>
      <c r="AU42" s="98">
        <f t="shared" si="33"/>
        <v>0</v>
      </c>
      <c r="AV42" s="98">
        <f t="shared" si="34"/>
        <v>0</v>
      </c>
      <c r="AW42" s="98">
        <f t="shared" si="35"/>
        <v>0</v>
      </c>
      <c r="AX42" s="98">
        <f t="shared" si="36"/>
        <v>0</v>
      </c>
      <c r="AY42" s="98">
        <f t="shared" si="37"/>
        <v>0</v>
      </c>
      <c r="AZ42" s="98">
        <f t="shared" si="38"/>
        <v>0</v>
      </c>
      <c r="BA42" s="98">
        <f t="shared" si="39"/>
        <v>0</v>
      </c>
      <c r="BB42" s="98">
        <f t="shared" si="40"/>
        <v>0</v>
      </c>
      <c r="BC42" s="98">
        <f t="shared" si="41"/>
        <v>0</v>
      </c>
      <c r="BD42" s="98">
        <f t="shared" si="42"/>
        <v>0</v>
      </c>
      <c r="BE42" s="98">
        <f t="shared" si="43"/>
        <v>0</v>
      </c>
      <c r="BF42" s="98">
        <f t="shared" si="44"/>
        <v>0</v>
      </c>
      <c r="BG42" s="98">
        <f t="shared" si="45"/>
        <v>0</v>
      </c>
      <c r="BH42" s="100">
        <f t="shared" si="46"/>
        <v>0</v>
      </c>
    </row>
    <row r="43" spans="2:60" ht="14.5" customHeight="1">
      <c r="B43" s="130"/>
      <c r="C43" s="96"/>
      <c r="D43" s="97" t="str" cm="1">
        <f t="array" ref="D43">IFERROR(_xlfn.TEXTJOIN("", TRUE, MID(C43, _xlfn.SEQUENCE(LEN(C43), 1, LEN(C43), -1), 1)),"")</f>
        <v/>
      </c>
      <c r="E43" s="99"/>
      <c r="F43" s="95">
        <f>SUMPRODUCT($Y43:$AN43,Calc!$BO$5:$CD$5)-SUMPRODUCT(Calc!$U43:$X43,Calc!$BK$5:$BN$5)</f>
        <v>0</v>
      </c>
      <c r="G43" s="122" t="str">
        <f t="shared" si="1"/>
        <v/>
      </c>
      <c r="H43" s="120" t="e">
        <f t="shared" si="2"/>
        <v>#VALUE!</v>
      </c>
      <c r="I43" s="100">
        <f>SUMPRODUCT($Q43:$T43,Calc!$BK$10:$BN$10)-62.03</f>
        <v>-62.03</v>
      </c>
      <c r="J43" s="95" t="e">
        <f>(1-(0.287*($Q43+$T43)+0.059*($R43+$S43))/(SUM($Q43:$T43)))*(SUMPRODUCT(Calc!$Y43:$AN43,Calc!$BO$5:$CD$5)-SUMPRODUCT($U43:$X43,Calc!$BK$5:$BN$5)+SUMPRODUCT($AS43:$BH43,Calc!$BO$5:$CD$5)-SUMPRODUCT(Calc!$AO43:$AR43,Calc!$BK$5:$BN$5))</f>
        <v>#DIV/0!</v>
      </c>
      <c r="K43" s="120" t="str">
        <f t="shared" si="3"/>
        <v/>
      </c>
      <c r="L43" s="120" t="e">
        <f t="shared" si="4"/>
        <v>#VALUE!</v>
      </c>
      <c r="M43" s="100">
        <f>SUMPRODUCT($Q43:$T43,Calc!$BK$11:$BN$11)-79.2*2+17.01*2</f>
        <v>-124.38</v>
      </c>
      <c r="N43" s="125">
        <f>1000*SUMPRODUCT($Y43:$AN43,Calc!$BO$6:$CD$6)/(-10.8+SUMPRODUCT($Y43:$AN43,Calc!$BO$7:$CD$7)+1.987*LN($O$3*POWER(10,-6)/4))-273.15+16.6*LOG10($N$3*POWER(10,-3))</f>
        <v>-294.74709792802207</v>
      </c>
      <c r="O43" s="127">
        <f t="shared" si="47"/>
        <v>0</v>
      </c>
      <c r="P43" s="135" t="e">
        <f t="shared" si="5"/>
        <v>#DIV/0!</v>
      </c>
      <c r="Q43" s="118">
        <f t="shared" si="6"/>
        <v>0</v>
      </c>
      <c r="R43" s="98">
        <f t="shared" si="6"/>
        <v>0</v>
      </c>
      <c r="S43" s="98">
        <f t="shared" si="6"/>
        <v>0</v>
      </c>
      <c r="T43" s="98">
        <f t="shared" si="6"/>
        <v>0</v>
      </c>
      <c r="U43" s="98">
        <f t="shared" si="7"/>
        <v>0</v>
      </c>
      <c r="V43" s="98">
        <f t="shared" si="8"/>
        <v>0</v>
      </c>
      <c r="W43" s="98">
        <f t="shared" si="9"/>
        <v>0</v>
      </c>
      <c r="X43" s="98">
        <f t="shared" si="10"/>
        <v>0</v>
      </c>
      <c r="Y43" s="98">
        <f t="shared" si="11"/>
        <v>0</v>
      </c>
      <c r="Z43" s="98">
        <f t="shared" si="12"/>
        <v>0</v>
      </c>
      <c r="AA43" s="98">
        <f t="shared" si="13"/>
        <v>0</v>
      </c>
      <c r="AB43" s="98">
        <f t="shared" si="14"/>
        <v>0</v>
      </c>
      <c r="AC43" s="98">
        <f t="shared" si="15"/>
        <v>0</v>
      </c>
      <c r="AD43" s="98">
        <f t="shared" si="16"/>
        <v>0</v>
      </c>
      <c r="AE43" s="98">
        <f t="shared" si="17"/>
        <v>0</v>
      </c>
      <c r="AF43" s="98">
        <f t="shared" si="18"/>
        <v>0</v>
      </c>
      <c r="AG43" s="98">
        <f t="shared" si="19"/>
        <v>0</v>
      </c>
      <c r="AH43" s="98">
        <f t="shared" si="20"/>
        <v>0</v>
      </c>
      <c r="AI43" s="98">
        <f t="shared" si="21"/>
        <v>0</v>
      </c>
      <c r="AJ43" s="98">
        <f t="shared" si="22"/>
        <v>0</v>
      </c>
      <c r="AK43" s="98">
        <f t="shared" si="23"/>
        <v>0</v>
      </c>
      <c r="AL43" s="98">
        <f t="shared" si="24"/>
        <v>0</v>
      </c>
      <c r="AM43" s="98">
        <f t="shared" si="25"/>
        <v>0</v>
      </c>
      <c r="AN43" s="100">
        <f t="shared" si="26"/>
        <v>0</v>
      </c>
      <c r="AO43" s="118">
        <f t="shared" si="27"/>
        <v>0</v>
      </c>
      <c r="AP43" s="98">
        <f t="shared" si="28"/>
        <v>0</v>
      </c>
      <c r="AQ43" s="98">
        <f t="shared" si="29"/>
        <v>0</v>
      </c>
      <c r="AR43" s="98">
        <f t="shared" si="30"/>
        <v>0</v>
      </c>
      <c r="AS43" s="98">
        <f t="shared" si="31"/>
        <v>0</v>
      </c>
      <c r="AT43" s="98">
        <f t="shared" si="32"/>
        <v>0</v>
      </c>
      <c r="AU43" s="98">
        <f t="shared" si="33"/>
        <v>0</v>
      </c>
      <c r="AV43" s="98">
        <f t="shared" si="34"/>
        <v>0</v>
      </c>
      <c r="AW43" s="98">
        <f t="shared" si="35"/>
        <v>0</v>
      </c>
      <c r="AX43" s="98">
        <f t="shared" si="36"/>
        <v>0</v>
      </c>
      <c r="AY43" s="98">
        <f t="shared" si="37"/>
        <v>0</v>
      </c>
      <c r="AZ43" s="98">
        <f t="shared" si="38"/>
        <v>0</v>
      </c>
      <c r="BA43" s="98">
        <f t="shared" si="39"/>
        <v>0</v>
      </c>
      <c r="BB43" s="98">
        <f t="shared" si="40"/>
        <v>0</v>
      </c>
      <c r="BC43" s="98">
        <f t="shared" si="41"/>
        <v>0</v>
      </c>
      <c r="BD43" s="98">
        <f t="shared" si="42"/>
        <v>0</v>
      </c>
      <c r="BE43" s="98">
        <f t="shared" si="43"/>
        <v>0</v>
      </c>
      <c r="BF43" s="98">
        <f t="shared" si="44"/>
        <v>0</v>
      </c>
      <c r="BG43" s="98">
        <f t="shared" si="45"/>
        <v>0</v>
      </c>
      <c r="BH43" s="100">
        <f t="shared" si="46"/>
        <v>0</v>
      </c>
    </row>
    <row r="44" spans="2:60" ht="14.5" customHeight="1">
      <c r="B44" s="130"/>
      <c r="C44" s="96"/>
      <c r="D44" s="97" t="str" cm="1">
        <f t="array" ref="D44">IFERROR(_xlfn.TEXTJOIN("", TRUE, MID(C44, _xlfn.SEQUENCE(LEN(C44), 1, LEN(C44), -1), 1)),"")</f>
        <v/>
      </c>
      <c r="E44" s="99"/>
      <c r="F44" s="95">
        <f>SUMPRODUCT($Y44:$AN44,Calc!$BO$5:$CD$5)-SUMPRODUCT(Calc!$U44:$X44,Calc!$BK$5:$BN$5)</f>
        <v>0</v>
      </c>
      <c r="G44" s="122" t="str">
        <f t="shared" si="1"/>
        <v/>
      </c>
      <c r="H44" s="120" t="e">
        <f t="shared" si="2"/>
        <v>#VALUE!</v>
      </c>
      <c r="I44" s="100">
        <f>SUMPRODUCT($Q44:$T44,Calc!$BK$10:$BN$10)-62.03</f>
        <v>-62.03</v>
      </c>
      <c r="J44" s="95" t="e">
        <f>(1-(0.287*($Q44+$T44)+0.059*($R44+$S44))/(SUM($Q44:$T44)))*(SUMPRODUCT(Calc!$Y44:$AN44,Calc!$BO$5:$CD$5)-SUMPRODUCT($U44:$X44,Calc!$BK$5:$BN$5)+SUMPRODUCT($AS44:$BH44,Calc!$BO$5:$CD$5)-SUMPRODUCT(Calc!$AO44:$AR44,Calc!$BK$5:$BN$5))</f>
        <v>#DIV/0!</v>
      </c>
      <c r="K44" s="120" t="str">
        <f t="shared" si="3"/>
        <v/>
      </c>
      <c r="L44" s="120" t="e">
        <f t="shared" si="4"/>
        <v>#VALUE!</v>
      </c>
      <c r="M44" s="100">
        <f>SUMPRODUCT($Q44:$T44,Calc!$BK$11:$BN$11)-79.2*2+17.01*2</f>
        <v>-124.38</v>
      </c>
      <c r="N44" s="125">
        <f>1000*SUMPRODUCT($Y44:$AN44,Calc!$BO$6:$CD$6)/(-10.8+SUMPRODUCT($Y44:$AN44,Calc!$BO$7:$CD$7)+1.987*LN($O$3*POWER(10,-6)/4))-273.15+16.6*LOG10($N$3*POWER(10,-3))</f>
        <v>-294.74709792802207</v>
      </c>
      <c r="O44" s="127">
        <f t="shared" si="47"/>
        <v>0</v>
      </c>
      <c r="P44" s="135" t="e">
        <f t="shared" si="5"/>
        <v>#DIV/0!</v>
      </c>
      <c r="Q44" s="118">
        <f t="shared" si="6"/>
        <v>0</v>
      </c>
      <c r="R44" s="98">
        <f t="shared" si="6"/>
        <v>0</v>
      </c>
      <c r="S44" s="98">
        <f t="shared" si="6"/>
        <v>0</v>
      </c>
      <c r="T44" s="98">
        <f t="shared" si="6"/>
        <v>0</v>
      </c>
      <c r="U44" s="98">
        <f t="shared" si="7"/>
        <v>0</v>
      </c>
      <c r="V44" s="98">
        <f t="shared" si="8"/>
        <v>0</v>
      </c>
      <c r="W44" s="98">
        <f t="shared" si="9"/>
        <v>0</v>
      </c>
      <c r="X44" s="98">
        <f t="shared" si="10"/>
        <v>0</v>
      </c>
      <c r="Y44" s="98">
        <f t="shared" si="11"/>
        <v>0</v>
      </c>
      <c r="Z44" s="98">
        <f t="shared" si="12"/>
        <v>0</v>
      </c>
      <c r="AA44" s="98">
        <f t="shared" si="13"/>
        <v>0</v>
      </c>
      <c r="AB44" s="98">
        <f t="shared" si="14"/>
        <v>0</v>
      </c>
      <c r="AC44" s="98">
        <f t="shared" si="15"/>
        <v>0</v>
      </c>
      <c r="AD44" s="98">
        <f t="shared" si="16"/>
        <v>0</v>
      </c>
      <c r="AE44" s="98">
        <f t="shared" si="17"/>
        <v>0</v>
      </c>
      <c r="AF44" s="98">
        <f t="shared" si="18"/>
        <v>0</v>
      </c>
      <c r="AG44" s="98">
        <f t="shared" si="19"/>
        <v>0</v>
      </c>
      <c r="AH44" s="98">
        <f t="shared" si="20"/>
        <v>0</v>
      </c>
      <c r="AI44" s="98">
        <f t="shared" si="21"/>
        <v>0</v>
      </c>
      <c r="AJ44" s="98">
        <f t="shared" si="22"/>
        <v>0</v>
      </c>
      <c r="AK44" s="98">
        <f t="shared" si="23"/>
        <v>0</v>
      </c>
      <c r="AL44" s="98">
        <f t="shared" si="24"/>
        <v>0</v>
      </c>
      <c r="AM44" s="98">
        <f t="shared" si="25"/>
        <v>0</v>
      </c>
      <c r="AN44" s="100">
        <f t="shared" si="26"/>
        <v>0</v>
      </c>
      <c r="AO44" s="118">
        <f t="shared" si="27"/>
        <v>0</v>
      </c>
      <c r="AP44" s="98">
        <f t="shared" si="28"/>
        <v>0</v>
      </c>
      <c r="AQ44" s="98">
        <f t="shared" si="29"/>
        <v>0</v>
      </c>
      <c r="AR44" s="98">
        <f t="shared" si="30"/>
        <v>0</v>
      </c>
      <c r="AS44" s="98">
        <f t="shared" si="31"/>
        <v>0</v>
      </c>
      <c r="AT44" s="98">
        <f t="shared" si="32"/>
        <v>0</v>
      </c>
      <c r="AU44" s="98">
        <f t="shared" si="33"/>
        <v>0</v>
      </c>
      <c r="AV44" s="98">
        <f t="shared" si="34"/>
        <v>0</v>
      </c>
      <c r="AW44" s="98">
        <f t="shared" si="35"/>
        <v>0</v>
      </c>
      <c r="AX44" s="98">
        <f t="shared" si="36"/>
        <v>0</v>
      </c>
      <c r="AY44" s="98">
        <f t="shared" si="37"/>
        <v>0</v>
      </c>
      <c r="AZ44" s="98">
        <f t="shared" si="38"/>
        <v>0</v>
      </c>
      <c r="BA44" s="98">
        <f t="shared" si="39"/>
        <v>0</v>
      </c>
      <c r="BB44" s="98">
        <f t="shared" si="40"/>
        <v>0</v>
      </c>
      <c r="BC44" s="98">
        <f t="shared" si="41"/>
        <v>0</v>
      </c>
      <c r="BD44" s="98">
        <f t="shared" si="42"/>
        <v>0</v>
      </c>
      <c r="BE44" s="98">
        <f t="shared" si="43"/>
        <v>0</v>
      </c>
      <c r="BF44" s="98">
        <f t="shared" si="44"/>
        <v>0</v>
      </c>
      <c r="BG44" s="98">
        <f t="shared" si="45"/>
        <v>0</v>
      </c>
      <c r="BH44" s="100">
        <f t="shared" si="46"/>
        <v>0</v>
      </c>
    </row>
    <row r="45" spans="2:60" ht="14.5" customHeight="1">
      <c r="B45" s="130"/>
      <c r="C45" s="96"/>
      <c r="D45" s="97" t="str" cm="1">
        <f t="array" ref="D45">IFERROR(_xlfn.TEXTJOIN("", TRUE, MID(C45, _xlfn.SEQUENCE(LEN(C45), 1, LEN(C45), -1), 1)),"")</f>
        <v/>
      </c>
      <c r="E45" s="99"/>
      <c r="F45" s="95">
        <f>SUMPRODUCT($Y45:$AN45,Calc!$BO$5:$CD$5)-SUMPRODUCT(Calc!$U45:$X45,Calc!$BK$5:$BN$5)</f>
        <v>0</v>
      </c>
      <c r="G45" s="122" t="str">
        <f t="shared" si="1"/>
        <v/>
      </c>
      <c r="H45" s="120" t="e">
        <f t="shared" si="2"/>
        <v>#VALUE!</v>
      </c>
      <c r="I45" s="100">
        <f>SUMPRODUCT($Q45:$T45,Calc!$BK$10:$BN$10)-62.03</f>
        <v>-62.03</v>
      </c>
      <c r="J45" s="95" t="e">
        <f>(1-(0.287*($Q45+$T45)+0.059*($R45+$S45))/(SUM($Q45:$T45)))*(SUMPRODUCT(Calc!$Y45:$AN45,Calc!$BO$5:$CD$5)-SUMPRODUCT($U45:$X45,Calc!$BK$5:$BN$5)+SUMPRODUCT($AS45:$BH45,Calc!$BO$5:$CD$5)-SUMPRODUCT(Calc!$AO45:$AR45,Calc!$BK$5:$BN$5))</f>
        <v>#DIV/0!</v>
      </c>
      <c r="K45" s="120" t="str">
        <f t="shared" si="3"/>
        <v/>
      </c>
      <c r="L45" s="120" t="e">
        <f t="shared" si="4"/>
        <v>#VALUE!</v>
      </c>
      <c r="M45" s="100">
        <f>SUMPRODUCT($Q45:$T45,Calc!$BK$11:$BN$11)-79.2*2+17.01*2</f>
        <v>-124.38</v>
      </c>
      <c r="N45" s="125">
        <f>1000*SUMPRODUCT($Y45:$AN45,Calc!$BO$6:$CD$6)/(-10.8+SUMPRODUCT($Y45:$AN45,Calc!$BO$7:$CD$7)+1.987*LN($O$3*POWER(10,-6)/4))-273.15+16.6*LOG10($N$3*POWER(10,-3))</f>
        <v>-294.74709792802207</v>
      </c>
      <c r="O45" s="127">
        <f t="shared" si="47"/>
        <v>0</v>
      </c>
      <c r="P45" s="135" t="e">
        <f t="shared" si="5"/>
        <v>#DIV/0!</v>
      </c>
      <c r="Q45" s="118">
        <f t="shared" si="6"/>
        <v>0</v>
      </c>
      <c r="R45" s="98">
        <f t="shared" si="6"/>
        <v>0</v>
      </c>
      <c r="S45" s="98">
        <f t="shared" si="6"/>
        <v>0</v>
      </c>
      <c r="T45" s="98">
        <f t="shared" si="6"/>
        <v>0</v>
      </c>
      <c r="U45" s="98">
        <f t="shared" si="7"/>
        <v>0</v>
      </c>
      <c r="V45" s="98">
        <f t="shared" si="8"/>
        <v>0</v>
      </c>
      <c r="W45" s="98">
        <f t="shared" si="9"/>
        <v>0</v>
      </c>
      <c r="X45" s="98">
        <f t="shared" si="10"/>
        <v>0</v>
      </c>
      <c r="Y45" s="98">
        <f t="shared" si="11"/>
        <v>0</v>
      </c>
      <c r="Z45" s="98">
        <f t="shared" si="12"/>
        <v>0</v>
      </c>
      <c r="AA45" s="98">
        <f t="shared" si="13"/>
        <v>0</v>
      </c>
      <c r="AB45" s="98">
        <f t="shared" si="14"/>
        <v>0</v>
      </c>
      <c r="AC45" s="98">
        <f t="shared" si="15"/>
        <v>0</v>
      </c>
      <c r="AD45" s="98">
        <f t="shared" si="16"/>
        <v>0</v>
      </c>
      <c r="AE45" s="98">
        <f t="shared" si="17"/>
        <v>0</v>
      </c>
      <c r="AF45" s="98">
        <f t="shared" si="18"/>
        <v>0</v>
      </c>
      <c r="AG45" s="98">
        <f t="shared" si="19"/>
        <v>0</v>
      </c>
      <c r="AH45" s="98">
        <f t="shared" si="20"/>
        <v>0</v>
      </c>
      <c r="AI45" s="98">
        <f t="shared" si="21"/>
        <v>0</v>
      </c>
      <c r="AJ45" s="98">
        <f t="shared" si="22"/>
        <v>0</v>
      </c>
      <c r="AK45" s="98">
        <f t="shared" si="23"/>
        <v>0</v>
      </c>
      <c r="AL45" s="98">
        <f t="shared" si="24"/>
        <v>0</v>
      </c>
      <c r="AM45" s="98">
        <f t="shared" si="25"/>
        <v>0</v>
      </c>
      <c r="AN45" s="100">
        <f t="shared" si="26"/>
        <v>0</v>
      </c>
      <c r="AO45" s="118">
        <f t="shared" si="27"/>
        <v>0</v>
      </c>
      <c r="AP45" s="98">
        <f t="shared" si="28"/>
        <v>0</v>
      </c>
      <c r="AQ45" s="98">
        <f t="shared" si="29"/>
        <v>0</v>
      </c>
      <c r="AR45" s="98">
        <f t="shared" si="30"/>
        <v>0</v>
      </c>
      <c r="AS45" s="98">
        <f t="shared" si="31"/>
        <v>0</v>
      </c>
      <c r="AT45" s="98">
        <f t="shared" si="32"/>
        <v>0</v>
      </c>
      <c r="AU45" s="98">
        <f t="shared" si="33"/>
        <v>0</v>
      </c>
      <c r="AV45" s="98">
        <f t="shared" si="34"/>
        <v>0</v>
      </c>
      <c r="AW45" s="98">
        <f t="shared" si="35"/>
        <v>0</v>
      </c>
      <c r="AX45" s="98">
        <f t="shared" si="36"/>
        <v>0</v>
      </c>
      <c r="AY45" s="98">
        <f t="shared" si="37"/>
        <v>0</v>
      </c>
      <c r="AZ45" s="98">
        <f t="shared" si="38"/>
        <v>0</v>
      </c>
      <c r="BA45" s="98">
        <f t="shared" si="39"/>
        <v>0</v>
      </c>
      <c r="BB45" s="98">
        <f t="shared" si="40"/>
        <v>0</v>
      </c>
      <c r="BC45" s="98">
        <f t="shared" si="41"/>
        <v>0</v>
      </c>
      <c r="BD45" s="98">
        <f t="shared" si="42"/>
        <v>0</v>
      </c>
      <c r="BE45" s="98">
        <f t="shared" si="43"/>
        <v>0</v>
      </c>
      <c r="BF45" s="98">
        <f t="shared" si="44"/>
        <v>0</v>
      </c>
      <c r="BG45" s="98">
        <f t="shared" si="45"/>
        <v>0</v>
      </c>
      <c r="BH45" s="100">
        <f t="shared" si="46"/>
        <v>0</v>
      </c>
    </row>
    <row r="46" spans="2:60" ht="14.5" customHeight="1">
      <c r="B46" s="130"/>
      <c r="C46" s="96"/>
      <c r="D46" s="97" t="str" cm="1">
        <f t="array" ref="D46">IFERROR(_xlfn.TEXTJOIN("", TRUE, MID(C46, _xlfn.SEQUENCE(LEN(C46), 1, LEN(C46), -1), 1)),"")</f>
        <v/>
      </c>
      <c r="E46" s="99"/>
      <c r="F46" s="95">
        <f>SUMPRODUCT($Y46:$AN46,Calc!$BO$5:$CD$5)-SUMPRODUCT(Calc!$U46:$X46,Calc!$BK$5:$BN$5)</f>
        <v>0</v>
      </c>
      <c r="G46" s="122" t="str">
        <f t="shared" si="1"/>
        <v/>
      </c>
      <c r="H46" s="120" t="e">
        <f t="shared" si="2"/>
        <v>#VALUE!</v>
      </c>
      <c r="I46" s="100">
        <f>SUMPRODUCT($Q46:$T46,Calc!$BK$10:$BN$10)-62.03</f>
        <v>-62.03</v>
      </c>
      <c r="J46" s="95" t="e">
        <f>(1-(0.287*($Q46+$T46)+0.059*($R46+$S46))/(SUM($Q46:$T46)))*(SUMPRODUCT(Calc!$Y46:$AN46,Calc!$BO$5:$CD$5)-SUMPRODUCT($U46:$X46,Calc!$BK$5:$BN$5)+SUMPRODUCT($AS46:$BH46,Calc!$BO$5:$CD$5)-SUMPRODUCT(Calc!$AO46:$AR46,Calc!$BK$5:$BN$5))</f>
        <v>#DIV/0!</v>
      </c>
      <c r="K46" s="120" t="str">
        <f t="shared" si="3"/>
        <v/>
      </c>
      <c r="L46" s="120" t="e">
        <f t="shared" si="4"/>
        <v>#VALUE!</v>
      </c>
      <c r="M46" s="100">
        <f>SUMPRODUCT($Q46:$T46,Calc!$BK$11:$BN$11)-79.2*2+17.01*2</f>
        <v>-124.38</v>
      </c>
      <c r="N46" s="125">
        <f>1000*SUMPRODUCT($Y46:$AN46,Calc!$BO$6:$CD$6)/(-10.8+SUMPRODUCT($Y46:$AN46,Calc!$BO$7:$CD$7)+1.987*LN($O$3*POWER(10,-6)/4))-273.15+16.6*LOG10($N$3*POWER(10,-3))</f>
        <v>-294.74709792802207</v>
      </c>
      <c r="O46" s="127">
        <f t="shared" si="47"/>
        <v>0</v>
      </c>
      <c r="P46" s="135" t="e">
        <f t="shared" si="5"/>
        <v>#DIV/0!</v>
      </c>
      <c r="Q46" s="118">
        <f t="shared" si="6"/>
        <v>0</v>
      </c>
      <c r="R46" s="98">
        <f t="shared" si="6"/>
        <v>0</v>
      </c>
      <c r="S46" s="98">
        <f t="shared" si="6"/>
        <v>0</v>
      </c>
      <c r="T46" s="98">
        <f t="shared" si="6"/>
        <v>0</v>
      </c>
      <c r="U46" s="98">
        <f t="shared" si="7"/>
        <v>0</v>
      </c>
      <c r="V46" s="98">
        <f t="shared" si="8"/>
        <v>0</v>
      </c>
      <c r="W46" s="98">
        <f t="shared" si="9"/>
        <v>0</v>
      </c>
      <c r="X46" s="98">
        <f t="shared" si="10"/>
        <v>0</v>
      </c>
      <c r="Y46" s="98">
        <f t="shared" si="11"/>
        <v>0</v>
      </c>
      <c r="Z46" s="98">
        <f t="shared" si="12"/>
        <v>0</v>
      </c>
      <c r="AA46" s="98">
        <f t="shared" si="13"/>
        <v>0</v>
      </c>
      <c r="AB46" s="98">
        <f t="shared" si="14"/>
        <v>0</v>
      </c>
      <c r="AC46" s="98">
        <f t="shared" si="15"/>
        <v>0</v>
      </c>
      <c r="AD46" s="98">
        <f t="shared" si="16"/>
        <v>0</v>
      </c>
      <c r="AE46" s="98">
        <f t="shared" si="17"/>
        <v>0</v>
      </c>
      <c r="AF46" s="98">
        <f t="shared" si="18"/>
        <v>0</v>
      </c>
      <c r="AG46" s="98">
        <f t="shared" si="19"/>
        <v>0</v>
      </c>
      <c r="AH46" s="98">
        <f t="shared" si="20"/>
        <v>0</v>
      </c>
      <c r="AI46" s="98">
        <f t="shared" si="21"/>
        <v>0</v>
      </c>
      <c r="AJ46" s="98">
        <f t="shared" si="22"/>
        <v>0</v>
      </c>
      <c r="AK46" s="98">
        <f t="shared" si="23"/>
        <v>0</v>
      </c>
      <c r="AL46" s="98">
        <f t="shared" si="24"/>
        <v>0</v>
      </c>
      <c r="AM46" s="98">
        <f t="shared" si="25"/>
        <v>0</v>
      </c>
      <c r="AN46" s="100">
        <f t="shared" si="26"/>
        <v>0</v>
      </c>
      <c r="AO46" s="118">
        <f t="shared" si="27"/>
        <v>0</v>
      </c>
      <c r="AP46" s="98">
        <f t="shared" si="28"/>
        <v>0</v>
      </c>
      <c r="AQ46" s="98">
        <f t="shared" si="29"/>
        <v>0</v>
      </c>
      <c r="AR46" s="98">
        <f t="shared" si="30"/>
        <v>0</v>
      </c>
      <c r="AS46" s="98">
        <f t="shared" si="31"/>
        <v>0</v>
      </c>
      <c r="AT46" s="98">
        <f t="shared" si="32"/>
        <v>0</v>
      </c>
      <c r="AU46" s="98">
        <f t="shared" si="33"/>
        <v>0</v>
      </c>
      <c r="AV46" s="98">
        <f t="shared" si="34"/>
        <v>0</v>
      </c>
      <c r="AW46" s="98">
        <f t="shared" si="35"/>
        <v>0</v>
      </c>
      <c r="AX46" s="98">
        <f t="shared" si="36"/>
        <v>0</v>
      </c>
      <c r="AY46" s="98">
        <f t="shared" si="37"/>
        <v>0</v>
      </c>
      <c r="AZ46" s="98">
        <f t="shared" si="38"/>
        <v>0</v>
      </c>
      <c r="BA46" s="98">
        <f t="shared" si="39"/>
        <v>0</v>
      </c>
      <c r="BB46" s="98">
        <f t="shared" si="40"/>
        <v>0</v>
      </c>
      <c r="BC46" s="98">
        <f t="shared" si="41"/>
        <v>0</v>
      </c>
      <c r="BD46" s="98">
        <f t="shared" si="42"/>
        <v>0</v>
      </c>
      <c r="BE46" s="98">
        <f t="shared" si="43"/>
        <v>0</v>
      </c>
      <c r="BF46" s="98">
        <f t="shared" si="44"/>
        <v>0</v>
      </c>
      <c r="BG46" s="98">
        <f t="shared" si="45"/>
        <v>0</v>
      </c>
      <c r="BH46" s="100">
        <f t="shared" si="46"/>
        <v>0</v>
      </c>
    </row>
    <row r="47" spans="2:60" ht="14.5" customHeight="1">
      <c r="B47" s="130"/>
      <c r="C47" s="96"/>
      <c r="D47" s="97" t="str" cm="1">
        <f t="array" ref="D47">IFERROR(_xlfn.TEXTJOIN("", TRUE, MID(C47, _xlfn.SEQUENCE(LEN(C47), 1, LEN(C47), -1), 1)),"")</f>
        <v/>
      </c>
      <c r="E47" s="99"/>
      <c r="F47" s="95">
        <f>SUMPRODUCT($Y47:$AN47,Calc!$BO$5:$CD$5)-SUMPRODUCT(Calc!$U47:$X47,Calc!$BK$5:$BN$5)</f>
        <v>0</v>
      </c>
      <c r="G47" s="122" t="str">
        <f t="shared" si="1"/>
        <v/>
      </c>
      <c r="H47" s="120" t="e">
        <f t="shared" si="2"/>
        <v>#VALUE!</v>
      </c>
      <c r="I47" s="100">
        <f>SUMPRODUCT($Q47:$T47,Calc!$BK$10:$BN$10)-62.03</f>
        <v>-62.03</v>
      </c>
      <c r="J47" s="95" t="e">
        <f>(1-(0.287*($Q47+$T47)+0.059*($R47+$S47))/(SUM($Q47:$T47)))*(SUMPRODUCT(Calc!$Y47:$AN47,Calc!$BO$5:$CD$5)-SUMPRODUCT($U47:$X47,Calc!$BK$5:$BN$5)+SUMPRODUCT($AS47:$BH47,Calc!$BO$5:$CD$5)-SUMPRODUCT(Calc!$AO47:$AR47,Calc!$BK$5:$BN$5))</f>
        <v>#DIV/0!</v>
      </c>
      <c r="K47" s="120" t="str">
        <f t="shared" si="3"/>
        <v/>
      </c>
      <c r="L47" s="120" t="e">
        <f t="shared" si="4"/>
        <v>#VALUE!</v>
      </c>
      <c r="M47" s="100">
        <f>SUMPRODUCT($Q47:$T47,Calc!$BK$11:$BN$11)-79.2*2+17.01*2</f>
        <v>-124.38</v>
      </c>
      <c r="N47" s="125">
        <f>1000*SUMPRODUCT($Y47:$AN47,Calc!$BO$6:$CD$6)/(-10.8+SUMPRODUCT($Y47:$AN47,Calc!$BO$7:$CD$7)+1.987*LN($O$3*POWER(10,-6)/4))-273.15+16.6*LOG10($N$3*POWER(10,-3))</f>
        <v>-294.74709792802207</v>
      </c>
      <c r="O47" s="127">
        <f t="shared" si="47"/>
        <v>0</v>
      </c>
      <c r="P47" s="135" t="e">
        <f t="shared" si="5"/>
        <v>#DIV/0!</v>
      </c>
      <c r="Q47" s="118">
        <f t="shared" si="6"/>
        <v>0</v>
      </c>
      <c r="R47" s="98">
        <f t="shared" si="6"/>
        <v>0</v>
      </c>
      <c r="S47" s="98">
        <f t="shared" si="6"/>
        <v>0</v>
      </c>
      <c r="T47" s="98">
        <f t="shared" si="6"/>
        <v>0</v>
      </c>
      <c r="U47" s="98">
        <f t="shared" si="7"/>
        <v>0</v>
      </c>
      <c r="V47" s="98">
        <f t="shared" si="8"/>
        <v>0</v>
      </c>
      <c r="W47" s="98">
        <f t="shared" si="9"/>
        <v>0</v>
      </c>
      <c r="X47" s="98">
        <f t="shared" si="10"/>
        <v>0</v>
      </c>
      <c r="Y47" s="98">
        <f t="shared" si="11"/>
        <v>0</v>
      </c>
      <c r="Z47" s="98">
        <f t="shared" si="12"/>
        <v>0</v>
      </c>
      <c r="AA47" s="98">
        <f t="shared" si="13"/>
        <v>0</v>
      </c>
      <c r="AB47" s="98">
        <f t="shared" si="14"/>
        <v>0</v>
      </c>
      <c r="AC47" s="98">
        <f t="shared" si="15"/>
        <v>0</v>
      </c>
      <c r="AD47" s="98">
        <f t="shared" si="16"/>
        <v>0</v>
      </c>
      <c r="AE47" s="98">
        <f t="shared" si="17"/>
        <v>0</v>
      </c>
      <c r="AF47" s="98">
        <f t="shared" si="18"/>
        <v>0</v>
      </c>
      <c r="AG47" s="98">
        <f t="shared" si="19"/>
        <v>0</v>
      </c>
      <c r="AH47" s="98">
        <f t="shared" si="20"/>
        <v>0</v>
      </c>
      <c r="AI47" s="98">
        <f t="shared" si="21"/>
        <v>0</v>
      </c>
      <c r="AJ47" s="98">
        <f t="shared" si="22"/>
        <v>0</v>
      </c>
      <c r="AK47" s="98">
        <f t="shared" si="23"/>
        <v>0</v>
      </c>
      <c r="AL47" s="98">
        <f t="shared" si="24"/>
        <v>0</v>
      </c>
      <c r="AM47" s="98">
        <f t="shared" si="25"/>
        <v>0</v>
      </c>
      <c r="AN47" s="100">
        <f t="shared" si="26"/>
        <v>0</v>
      </c>
      <c r="AO47" s="118">
        <f t="shared" si="27"/>
        <v>0</v>
      </c>
      <c r="AP47" s="98">
        <f t="shared" si="28"/>
        <v>0</v>
      </c>
      <c r="AQ47" s="98">
        <f t="shared" si="29"/>
        <v>0</v>
      </c>
      <c r="AR47" s="98">
        <f t="shared" si="30"/>
        <v>0</v>
      </c>
      <c r="AS47" s="98">
        <f t="shared" si="31"/>
        <v>0</v>
      </c>
      <c r="AT47" s="98">
        <f t="shared" si="32"/>
        <v>0</v>
      </c>
      <c r="AU47" s="98">
        <f t="shared" si="33"/>
        <v>0</v>
      </c>
      <c r="AV47" s="98">
        <f t="shared" si="34"/>
        <v>0</v>
      </c>
      <c r="AW47" s="98">
        <f t="shared" si="35"/>
        <v>0</v>
      </c>
      <c r="AX47" s="98">
        <f t="shared" si="36"/>
        <v>0</v>
      </c>
      <c r="AY47" s="98">
        <f t="shared" si="37"/>
        <v>0</v>
      </c>
      <c r="AZ47" s="98">
        <f t="shared" si="38"/>
        <v>0</v>
      </c>
      <c r="BA47" s="98">
        <f t="shared" si="39"/>
        <v>0</v>
      </c>
      <c r="BB47" s="98">
        <f t="shared" si="40"/>
        <v>0</v>
      </c>
      <c r="BC47" s="98">
        <f t="shared" si="41"/>
        <v>0</v>
      </c>
      <c r="BD47" s="98">
        <f t="shared" si="42"/>
        <v>0</v>
      </c>
      <c r="BE47" s="98">
        <f t="shared" si="43"/>
        <v>0</v>
      </c>
      <c r="BF47" s="98">
        <f t="shared" si="44"/>
        <v>0</v>
      </c>
      <c r="BG47" s="98">
        <f t="shared" si="45"/>
        <v>0</v>
      </c>
      <c r="BH47" s="100">
        <f t="shared" si="46"/>
        <v>0</v>
      </c>
    </row>
    <row r="48" spans="2:60" ht="14.5" customHeight="1">
      <c r="B48" s="130"/>
      <c r="C48" s="96"/>
      <c r="D48" s="97" t="str" cm="1">
        <f t="array" ref="D48">IFERROR(_xlfn.TEXTJOIN("", TRUE, MID(C48, _xlfn.SEQUENCE(LEN(C48), 1, LEN(C48), -1), 1)),"")</f>
        <v/>
      </c>
      <c r="E48" s="99"/>
      <c r="F48" s="95">
        <f>SUMPRODUCT($Y48:$AN48,Calc!$BO$5:$CD$5)-SUMPRODUCT(Calc!$U48:$X48,Calc!$BK$5:$BN$5)</f>
        <v>0</v>
      </c>
      <c r="G48" s="122" t="str">
        <f t="shared" si="1"/>
        <v/>
      </c>
      <c r="H48" s="120" t="e">
        <f t="shared" si="2"/>
        <v>#VALUE!</v>
      </c>
      <c r="I48" s="100">
        <f>SUMPRODUCT($Q48:$T48,Calc!$BK$10:$BN$10)-62.03</f>
        <v>-62.03</v>
      </c>
      <c r="J48" s="95" t="e">
        <f>(1-(0.287*($Q48+$T48)+0.059*($R48+$S48))/(SUM($Q48:$T48)))*(SUMPRODUCT(Calc!$Y48:$AN48,Calc!$BO$5:$CD$5)-SUMPRODUCT($U48:$X48,Calc!$BK$5:$BN$5)+SUMPRODUCT($AS48:$BH48,Calc!$BO$5:$CD$5)-SUMPRODUCT(Calc!$AO48:$AR48,Calc!$BK$5:$BN$5))</f>
        <v>#DIV/0!</v>
      </c>
      <c r="K48" s="120" t="str">
        <f t="shared" si="3"/>
        <v/>
      </c>
      <c r="L48" s="120" t="e">
        <f t="shared" si="4"/>
        <v>#VALUE!</v>
      </c>
      <c r="M48" s="100">
        <f>SUMPRODUCT($Q48:$T48,Calc!$BK$11:$BN$11)-79.2*2+17.01*2</f>
        <v>-124.38</v>
      </c>
      <c r="N48" s="125">
        <f>1000*SUMPRODUCT($Y48:$AN48,Calc!$BO$6:$CD$6)/(-10.8+SUMPRODUCT($Y48:$AN48,Calc!$BO$7:$CD$7)+1.987*LN($O$3*POWER(10,-6)/4))-273.15+16.6*LOG10($N$3*POWER(10,-3))</f>
        <v>-294.74709792802207</v>
      </c>
      <c r="O48" s="127">
        <f t="shared" si="47"/>
        <v>0</v>
      </c>
      <c r="P48" s="135" t="e">
        <f t="shared" si="5"/>
        <v>#DIV/0!</v>
      </c>
      <c r="Q48" s="118">
        <f t="shared" si="6"/>
        <v>0</v>
      </c>
      <c r="R48" s="98">
        <f t="shared" si="6"/>
        <v>0</v>
      </c>
      <c r="S48" s="98">
        <f t="shared" si="6"/>
        <v>0</v>
      </c>
      <c r="T48" s="98">
        <f t="shared" si="6"/>
        <v>0</v>
      </c>
      <c r="U48" s="98">
        <f t="shared" si="7"/>
        <v>0</v>
      </c>
      <c r="V48" s="98">
        <f t="shared" si="8"/>
        <v>0</v>
      </c>
      <c r="W48" s="98">
        <f t="shared" si="9"/>
        <v>0</v>
      </c>
      <c r="X48" s="98">
        <f t="shared" si="10"/>
        <v>0</v>
      </c>
      <c r="Y48" s="98">
        <f t="shared" si="11"/>
        <v>0</v>
      </c>
      <c r="Z48" s="98">
        <f t="shared" si="12"/>
        <v>0</v>
      </c>
      <c r="AA48" s="98">
        <f t="shared" si="13"/>
        <v>0</v>
      </c>
      <c r="AB48" s="98">
        <f t="shared" si="14"/>
        <v>0</v>
      </c>
      <c r="AC48" s="98">
        <f t="shared" si="15"/>
        <v>0</v>
      </c>
      <c r="AD48" s="98">
        <f t="shared" si="16"/>
        <v>0</v>
      </c>
      <c r="AE48" s="98">
        <f t="shared" si="17"/>
        <v>0</v>
      </c>
      <c r="AF48" s="98">
        <f t="shared" si="18"/>
        <v>0</v>
      </c>
      <c r="AG48" s="98">
        <f t="shared" si="19"/>
        <v>0</v>
      </c>
      <c r="AH48" s="98">
        <f t="shared" si="20"/>
        <v>0</v>
      </c>
      <c r="AI48" s="98">
        <f t="shared" si="21"/>
        <v>0</v>
      </c>
      <c r="AJ48" s="98">
        <f t="shared" si="22"/>
        <v>0</v>
      </c>
      <c r="AK48" s="98">
        <f t="shared" si="23"/>
        <v>0</v>
      </c>
      <c r="AL48" s="98">
        <f t="shared" si="24"/>
        <v>0</v>
      </c>
      <c r="AM48" s="98">
        <f t="shared" si="25"/>
        <v>0</v>
      </c>
      <c r="AN48" s="100">
        <f t="shared" si="26"/>
        <v>0</v>
      </c>
      <c r="AO48" s="118">
        <f t="shared" si="27"/>
        <v>0</v>
      </c>
      <c r="AP48" s="98">
        <f t="shared" si="28"/>
        <v>0</v>
      </c>
      <c r="AQ48" s="98">
        <f t="shared" si="29"/>
        <v>0</v>
      </c>
      <c r="AR48" s="98">
        <f t="shared" si="30"/>
        <v>0</v>
      </c>
      <c r="AS48" s="98">
        <f t="shared" si="31"/>
        <v>0</v>
      </c>
      <c r="AT48" s="98">
        <f t="shared" si="32"/>
        <v>0</v>
      </c>
      <c r="AU48" s="98">
        <f t="shared" si="33"/>
        <v>0</v>
      </c>
      <c r="AV48" s="98">
        <f t="shared" si="34"/>
        <v>0</v>
      </c>
      <c r="AW48" s="98">
        <f t="shared" si="35"/>
        <v>0</v>
      </c>
      <c r="AX48" s="98">
        <f t="shared" si="36"/>
        <v>0</v>
      </c>
      <c r="AY48" s="98">
        <f t="shared" si="37"/>
        <v>0</v>
      </c>
      <c r="AZ48" s="98">
        <f t="shared" si="38"/>
        <v>0</v>
      </c>
      <c r="BA48" s="98">
        <f t="shared" si="39"/>
        <v>0</v>
      </c>
      <c r="BB48" s="98">
        <f t="shared" si="40"/>
        <v>0</v>
      </c>
      <c r="BC48" s="98">
        <f t="shared" si="41"/>
        <v>0</v>
      </c>
      <c r="BD48" s="98">
        <f t="shared" si="42"/>
        <v>0</v>
      </c>
      <c r="BE48" s="98">
        <f t="shared" si="43"/>
        <v>0</v>
      </c>
      <c r="BF48" s="98">
        <f t="shared" si="44"/>
        <v>0</v>
      </c>
      <c r="BG48" s="98">
        <f t="shared" si="45"/>
        <v>0</v>
      </c>
      <c r="BH48" s="100">
        <f t="shared" si="46"/>
        <v>0</v>
      </c>
    </row>
    <row r="49" spans="2:60" ht="14.5" customHeight="1">
      <c r="B49" s="130"/>
      <c r="C49" s="96"/>
      <c r="D49" s="97" t="str" cm="1">
        <f t="array" ref="D49">IFERROR(_xlfn.TEXTJOIN("", TRUE, MID(C49, _xlfn.SEQUENCE(LEN(C49), 1, LEN(C49), -1), 1)),"")</f>
        <v/>
      </c>
      <c r="E49" s="99"/>
      <c r="F49" s="95">
        <f>SUMPRODUCT($Y49:$AN49,Calc!$BO$5:$CD$5)-SUMPRODUCT(Calc!$U49:$X49,Calc!$BK$5:$BN$5)</f>
        <v>0</v>
      </c>
      <c r="G49" s="122" t="str">
        <f t="shared" si="1"/>
        <v/>
      </c>
      <c r="H49" s="120" t="e">
        <f t="shared" si="2"/>
        <v>#VALUE!</v>
      </c>
      <c r="I49" s="100">
        <f>SUMPRODUCT($Q49:$T49,Calc!$BK$10:$BN$10)-62.03</f>
        <v>-62.03</v>
      </c>
      <c r="J49" s="95" t="e">
        <f>(1-(0.287*($Q49+$T49)+0.059*($R49+$S49))/(SUM($Q49:$T49)))*(SUMPRODUCT(Calc!$Y49:$AN49,Calc!$BO$5:$CD$5)-SUMPRODUCT($U49:$X49,Calc!$BK$5:$BN$5)+SUMPRODUCT($AS49:$BH49,Calc!$BO$5:$CD$5)-SUMPRODUCT(Calc!$AO49:$AR49,Calc!$BK$5:$BN$5))</f>
        <v>#DIV/0!</v>
      </c>
      <c r="K49" s="120" t="str">
        <f t="shared" si="3"/>
        <v/>
      </c>
      <c r="L49" s="120" t="e">
        <f t="shared" si="4"/>
        <v>#VALUE!</v>
      </c>
      <c r="M49" s="100">
        <f>SUMPRODUCT($Q49:$T49,Calc!$BK$11:$BN$11)-79.2*2+17.01*2</f>
        <v>-124.38</v>
      </c>
      <c r="N49" s="125">
        <f>1000*SUMPRODUCT($Y49:$AN49,Calc!$BO$6:$CD$6)/(-10.8+SUMPRODUCT($Y49:$AN49,Calc!$BO$7:$CD$7)+1.987*LN($O$3*POWER(10,-6)/4))-273.15+16.6*LOG10($N$3*POWER(10,-3))</f>
        <v>-294.74709792802207</v>
      </c>
      <c r="O49" s="127">
        <f t="shared" si="47"/>
        <v>0</v>
      </c>
      <c r="P49" s="135" t="e">
        <f t="shared" si="5"/>
        <v>#DIV/0!</v>
      </c>
      <c r="Q49" s="118">
        <f t="shared" si="6"/>
        <v>0</v>
      </c>
      <c r="R49" s="98">
        <f t="shared" si="6"/>
        <v>0</v>
      </c>
      <c r="S49" s="98">
        <f t="shared" si="6"/>
        <v>0</v>
      </c>
      <c r="T49" s="98">
        <f t="shared" si="6"/>
        <v>0</v>
      </c>
      <c r="U49" s="98">
        <f t="shared" si="7"/>
        <v>0</v>
      </c>
      <c r="V49" s="98">
        <f t="shared" si="8"/>
        <v>0</v>
      </c>
      <c r="W49" s="98">
        <f t="shared" si="9"/>
        <v>0</v>
      </c>
      <c r="X49" s="98">
        <f t="shared" si="10"/>
        <v>0</v>
      </c>
      <c r="Y49" s="98">
        <f t="shared" si="11"/>
        <v>0</v>
      </c>
      <c r="Z49" s="98">
        <f t="shared" si="12"/>
        <v>0</v>
      </c>
      <c r="AA49" s="98">
        <f t="shared" si="13"/>
        <v>0</v>
      </c>
      <c r="AB49" s="98">
        <f t="shared" si="14"/>
        <v>0</v>
      </c>
      <c r="AC49" s="98">
        <f t="shared" si="15"/>
        <v>0</v>
      </c>
      <c r="AD49" s="98">
        <f t="shared" si="16"/>
        <v>0</v>
      </c>
      <c r="AE49" s="98">
        <f t="shared" si="17"/>
        <v>0</v>
      </c>
      <c r="AF49" s="98">
        <f t="shared" si="18"/>
        <v>0</v>
      </c>
      <c r="AG49" s="98">
        <f t="shared" si="19"/>
        <v>0</v>
      </c>
      <c r="AH49" s="98">
        <f t="shared" si="20"/>
        <v>0</v>
      </c>
      <c r="AI49" s="98">
        <f t="shared" si="21"/>
        <v>0</v>
      </c>
      <c r="AJ49" s="98">
        <f t="shared" si="22"/>
        <v>0</v>
      </c>
      <c r="AK49" s="98">
        <f t="shared" si="23"/>
        <v>0</v>
      </c>
      <c r="AL49" s="98">
        <f t="shared" si="24"/>
        <v>0</v>
      </c>
      <c r="AM49" s="98">
        <f t="shared" si="25"/>
        <v>0</v>
      </c>
      <c r="AN49" s="100">
        <f t="shared" si="26"/>
        <v>0</v>
      </c>
      <c r="AO49" s="118">
        <f t="shared" si="27"/>
        <v>0</v>
      </c>
      <c r="AP49" s="98">
        <f t="shared" si="28"/>
        <v>0</v>
      </c>
      <c r="AQ49" s="98">
        <f t="shared" si="29"/>
        <v>0</v>
      </c>
      <c r="AR49" s="98">
        <f t="shared" si="30"/>
        <v>0</v>
      </c>
      <c r="AS49" s="98">
        <f t="shared" si="31"/>
        <v>0</v>
      </c>
      <c r="AT49" s="98">
        <f t="shared" si="32"/>
        <v>0</v>
      </c>
      <c r="AU49" s="98">
        <f t="shared" si="33"/>
        <v>0</v>
      </c>
      <c r="AV49" s="98">
        <f t="shared" si="34"/>
        <v>0</v>
      </c>
      <c r="AW49" s="98">
        <f t="shared" si="35"/>
        <v>0</v>
      </c>
      <c r="AX49" s="98">
        <f t="shared" si="36"/>
        <v>0</v>
      </c>
      <c r="AY49" s="98">
        <f t="shared" si="37"/>
        <v>0</v>
      </c>
      <c r="AZ49" s="98">
        <f t="shared" si="38"/>
        <v>0</v>
      </c>
      <c r="BA49" s="98">
        <f t="shared" si="39"/>
        <v>0</v>
      </c>
      <c r="BB49" s="98">
        <f t="shared" si="40"/>
        <v>0</v>
      </c>
      <c r="BC49" s="98">
        <f t="shared" si="41"/>
        <v>0</v>
      </c>
      <c r="BD49" s="98">
        <f t="shared" si="42"/>
        <v>0</v>
      </c>
      <c r="BE49" s="98">
        <f t="shared" si="43"/>
        <v>0</v>
      </c>
      <c r="BF49" s="98">
        <f t="shared" si="44"/>
        <v>0</v>
      </c>
      <c r="BG49" s="98">
        <f t="shared" si="45"/>
        <v>0</v>
      </c>
      <c r="BH49" s="100">
        <f t="shared" si="46"/>
        <v>0</v>
      </c>
    </row>
    <row r="50" spans="2:60" ht="14.5" customHeight="1">
      <c r="B50" s="130"/>
      <c r="C50" s="96"/>
      <c r="D50" s="97" t="str" cm="1">
        <f t="array" ref="D50">IFERROR(_xlfn.TEXTJOIN("", TRUE, MID(C50, _xlfn.SEQUENCE(LEN(C50), 1, LEN(C50), -1), 1)),"")</f>
        <v/>
      </c>
      <c r="E50" s="99"/>
      <c r="F50" s="95">
        <f>SUMPRODUCT($Y50:$AN50,Calc!$BO$5:$CD$5)-SUMPRODUCT(Calc!$U50:$X50,Calc!$BK$5:$BN$5)</f>
        <v>0</v>
      </c>
      <c r="G50" s="122" t="str">
        <f t="shared" si="1"/>
        <v/>
      </c>
      <c r="H50" s="120" t="e">
        <f t="shared" si="2"/>
        <v>#VALUE!</v>
      </c>
      <c r="I50" s="100">
        <f>SUMPRODUCT($Q50:$T50,Calc!$BK$10:$BN$10)-62.03</f>
        <v>-62.03</v>
      </c>
      <c r="J50" s="95" t="e">
        <f>(1-(0.287*($Q50+$T50)+0.059*($R50+$S50))/(SUM($Q50:$T50)))*(SUMPRODUCT(Calc!$Y50:$AN50,Calc!$BO$5:$CD$5)-SUMPRODUCT($U50:$X50,Calc!$BK$5:$BN$5)+SUMPRODUCT($AS50:$BH50,Calc!$BO$5:$CD$5)-SUMPRODUCT(Calc!$AO50:$AR50,Calc!$BK$5:$BN$5))</f>
        <v>#DIV/0!</v>
      </c>
      <c r="K50" s="120" t="str">
        <f t="shared" si="3"/>
        <v/>
      </c>
      <c r="L50" s="120" t="e">
        <f t="shared" si="4"/>
        <v>#VALUE!</v>
      </c>
      <c r="M50" s="100">
        <f>SUMPRODUCT($Q50:$T50,Calc!$BK$11:$BN$11)-79.2*2+17.01*2</f>
        <v>-124.38</v>
      </c>
      <c r="N50" s="125">
        <f>1000*SUMPRODUCT($Y50:$AN50,Calc!$BO$6:$CD$6)/(-10.8+SUMPRODUCT($Y50:$AN50,Calc!$BO$7:$CD$7)+1.987*LN($O$3*POWER(10,-6)/4))-273.15+16.6*LOG10($N$3*POWER(10,-3))</f>
        <v>-294.74709792802207</v>
      </c>
      <c r="O50" s="127">
        <f t="shared" si="47"/>
        <v>0</v>
      </c>
      <c r="P50" s="135" t="e">
        <f t="shared" si="5"/>
        <v>#DIV/0!</v>
      </c>
      <c r="Q50" s="118">
        <f t="shared" si="6"/>
        <v>0</v>
      </c>
      <c r="R50" s="98">
        <f t="shared" si="6"/>
        <v>0</v>
      </c>
      <c r="S50" s="98">
        <f t="shared" si="6"/>
        <v>0</v>
      </c>
      <c r="T50" s="98">
        <f t="shared" si="6"/>
        <v>0</v>
      </c>
      <c r="U50" s="98">
        <f t="shared" si="7"/>
        <v>0</v>
      </c>
      <c r="V50" s="98">
        <f t="shared" si="8"/>
        <v>0</v>
      </c>
      <c r="W50" s="98">
        <f t="shared" si="9"/>
        <v>0</v>
      </c>
      <c r="X50" s="98">
        <f t="shared" si="10"/>
        <v>0</v>
      </c>
      <c r="Y50" s="98">
        <f t="shared" si="11"/>
        <v>0</v>
      </c>
      <c r="Z50" s="98">
        <f t="shared" si="12"/>
        <v>0</v>
      </c>
      <c r="AA50" s="98">
        <f t="shared" si="13"/>
        <v>0</v>
      </c>
      <c r="AB50" s="98">
        <f t="shared" si="14"/>
        <v>0</v>
      </c>
      <c r="AC50" s="98">
        <f t="shared" si="15"/>
        <v>0</v>
      </c>
      <c r="AD50" s="98">
        <f t="shared" si="16"/>
        <v>0</v>
      </c>
      <c r="AE50" s="98">
        <f t="shared" si="17"/>
        <v>0</v>
      </c>
      <c r="AF50" s="98">
        <f t="shared" si="18"/>
        <v>0</v>
      </c>
      <c r="AG50" s="98">
        <f t="shared" si="19"/>
        <v>0</v>
      </c>
      <c r="AH50" s="98">
        <f t="shared" si="20"/>
        <v>0</v>
      </c>
      <c r="AI50" s="98">
        <f t="shared" si="21"/>
        <v>0</v>
      </c>
      <c r="AJ50" s="98">
        <f t="shared" si="22"/>
        <v>0</v>
      </c>
      <c r="AK50" s="98">
        <f t="shared" si="23"/>
        <v>0</v>
      </c>
      <c r="AL50" s="98">
        <f t="shared" si="24"/>
        <v>0</v>
      </c>
      <c r="AM50" s="98">
        <f t="shared" si="25"/>
        <v>0</v>
      </c>
      <c r="AN50" s="100">
        <f t="shared" si="26"/>
        <v>0</v>
      </c>
      <c r="AO50" s="118">
        <f t="shared" si="27"/>
        <v>0</v>
      </c>
      <c r="AP50" s="98">
        <f t="shared" si="28"/>
        <v>0</v>
      </c>
      <c r="AQ50" s="98">
        <f t="shared" si="29"/>
        <v>0</v>
      </c>
      <c r="AR50" s="98">
        <f t="shared" si="30"/>
        <v>0</v>
      </c>
      <c r="AS50" s="98">
        <f t="shared" si="31"/>
        <v>0</v>
      </c>
      <c r="AT50" s="98">
        <f t="shared" si="32"/>
        <v>0</v>
      </c>
      <c r="AU50" s="98">
        <f t="shared" si="33"/>
        <v>0</v>
      </c>
      <c r="AV50" s="98">
        <f t="shared" si="34"/>
        <v>0</v>
      </c>
      <c r="AW50" s="98">
        <f t="shared" si="35"/>
        <v>0</v>
      </c>
      <c r="AX50" s="98">
        <f t="shared" si="36"/>
        <v>0</v>
      </c>
      <c r="AY50" s="98">
        <f t="shared" si="37"/>
        <v>0</v>
      </c>
      <c r="AZ50" s="98">
        <f t="shared" si="38"/>
        <v>0</v>
      </c>
      <c r="BA50" s="98">
        <f t="shared" si="39"/>
        <v>0</v>
      </c>
      <c r="BB50" s="98">
        <f t="shared" si="40"/>
        <v>0</v>
      </c>
      <c r="BC50" s="98">
        <f t="shared" si="41"/>
        <v>0</v>
      </c>
      <c r="BD50" s="98">
        <f t="shared" si="42"/>
        <v>0</v>
      </c>
      <c r="BE50" s="98">
        <f t="shared" si="43"/>
        <v>0</v>
      </c>
      <c r="BF50" s="98">
        <f t="shared" si="44"/>
        <v>0</v>
      </c>
      <c r="BG50" s="98">
        <f t="shared" si="45"/>
        <v>0</v>
      </c>
      <c r="BH50" s="100">
        <f t="shared" si="46"/>
        <v>0</v>
      </c>
    </row>
    <row r="51" spans="2:60" ht="14.5" customHeight="1">
      <c r="B51" s="130"/>
      <c r="C51" s="96"/>
      <c r="D51" s="97" t="str" cm="1">
        <f t="array" ref="D51">IFERROR(_xlfn.TEXTJOIN("", TRUE, MID(C51, _xlfn.SEQUENCE(LEN(C51), 1, LEN(C51), -1), 1)),"")</f>
        <v/>
      </c>
      <c r="E51" s="99"/>
      <c r="F51" s="95">
        <f>SUMPRODUCT($Y51:$AN51,Calc!$BO$5:$CD$5)-SUMPRODUCT(Calc!$U51:$X51,Calc!$BK$5:$BN$5)</f>
        <v>0</v>
      </c>
      <c r="G51" s="122" t="str">
        <f t="shared" si="1"/>
        <v/>
      </c>
      <c r="H51" s="120" t="e">
        <f t="shared" si="2"/>
        <v>#VALUE!</v>
      </c>
      <c r="I51" s="100">
        <f>SUMPRODUCT($Q51:$T51,Calc!$BK$10:$BN$10)-62.03</f>
        <v>-62.03</v>
      </c>
      <c r="J51" s="95" t="e">
        <f>(1-(0.287*($Q51+$T51)+0.059*($R51+$S51))/(SUM($Q51:$T51)))*(SUMPRODUCT(Calc!$Y51:$AN51,Calc!$BO$5:$CD$5)-SUMPRODUCT($U51:$X51,Calc!$BK$5:$BN$5)+SUMPRODUCT($AS51:$BH51,Calc!$BO$5:$CD$5)-SUMPRODUCT(Calc!$AO51:$AR51,Calc!$BK$5:$BN$5))</f>
        <v>#DIV/0!</v>
      </c>
      <c r="K51" s="120" t="str">
        <f t="shared" si="3"/>
        <v/>
      </c>
      <c r="L51" s="120" t="e">
        <f t="shared" si="4"/>
        <v>#VALUE!</v>
      </c>
      <c r="M51" s="100">
        <f>SUMPRODUCT($Q51:$T51,Calc!$BK$11:$BN$11)-79.2*2+17.01*2</f>
        <v>-124.38</v>
      </c>
      <c r="N51" s="125">
        <f>1000*SUMPRODUCT($Y51:$AN51,Calc!$BO$6:$CD$6)/(-10.8+SUMPRODUCT($Y51:$AN51,Calc!$BO$7:$CD$7)+1.987*LN($O$3*POWER(10,-6)/4))-273.15+16.6*LOG10($N$3*POWER(10,-3))</f>
        <v>-294.74709792802207</v>
      </c>
      <c r="O51" s="127">
        <f t="shared" si="47"/>
        <v>0</v>
      </c>
      <c r="P51" s="135" t="e">
        <f t="shared" si="5"/>
        <v>#DIV/0!</v>
      </c>
      <c r="Q51" s="118">
        <f t="shared" si="6"/>
        <v>0</v>
      </c>
      <c r="R51" s="98">
        <f t="shared" si="6"/>
        <v>0</v>
      </c>
      <c r="S51" s="98">
        <f t="shared" si="6"/>
        <v>0</v>
      </c>
      <c r="T51" s="98">
        <f t="shared" si="6"/>
        <v>0</v>
      </c>
      <c r="U51" s="98">
        <f t="shared" si="7"/>
        <v>0</v>
      </c>
      <c r="V51" s="98">
        <f t="shared" si="8"/>
        <v>0</v>
      </c>
      <c r="W51" s="98">
        <f t="shared" si="9"/>
        <v>0</v>
      </c>
      <c r="X51" s="98">
        <f t="shared" si="10"/>
        <v>0</v>
      </c>
      <c r="Y51" s="98">
        <f t="shared" si="11"/>
        <v>0</v>
      </c>
      <c r="Z51" s="98">
        <f t="shared" si="12"/>
        <v>0</v>
      </c>
      <c r="AA51" s="98">
        <f t="shared" si="13"/>
        <v>0</v>
      </c>
      <c r="AB51" s="98">
        <f t="shared" si="14"/>
        <v>0</v>
      </c>
      <c r="AC51" s="98">
        <f t="shared" si="15"/>
        <v>0</v>
      </c>
      <c r="AD51" s="98">
        <f t="shared" si="16"/>
        <v>0</v>
      </c>
      <c r="AE51" s="98">
        <f t="shared" si="17"/>
        <v>0</v>
      </c>
      <c r="AF51" s="98">
        <f t="shared" si="18"/>
        <v>0</v>
      </c>
      <c r="AG51" s="98">
        <f t="shared" si="19"/>
        <v>0</v>
      </c>
      <c r="AH51" s="98">
        <f t="shared" si="20"/>
        <v>0</v>
      </c>
      <c r="AI51" s="98">
        <f t="shared" si="21"/>
        <v>0</v>
      </c>
      <c r="AJ51" s="98">
        <f t="shared" si="22"/>
        <v>0</v>
      </c>
      <c r="AK51" s="98">
        <f t="shared" si="23"/>
        <v>0</v>
      </c>
      <c r="AL51" s="98">
        <f t="shared" si="24"/>
        <v>0</v>
      </c>
      <c r="AM51" s="98">
        <f t="shared" si="25"/>
        <v>0</v>
      </c>
      <c r="AN51" s="100">
        <f t="shared" si="26"/>
        <v>0</v>
      </c>
      <c r="AO51" s="118">
        <f t="shared" si="27"/>
        <v>0</v>
      </c>
      <c r="AP51" s="98">
        <f t="shared" si="28"/>
        <v>0</v>
      </c>
      <c r="AQ51" s="98">
        <f t="shared" si="29"/>
        <v>0</v>
      </c>
      <c r="AR51" s="98">
        <f t="shared" si="30"/>
        <v>0</v>
      </c>
      <c r="AS51" s="98">
        <f t="shared" si="31"/>
        <v>0</v>
      </c>
      <c r="AT51" s="98">
        <f t="shared" si="32"/>
        <v>0</v>
      </c>
      <c r="AU51" s="98">
        <f t="shared" si="33"/>
        <v>0</v>
      </c>
      <c r="AV51" s="98">
        <f t="shared" si="34"/>
        <v>0</v>
      </c>
      <c r="AW51" s="98">
        <f t="shared" si="35"/>
        <v>0</v>
      </c>
      <c r="AX51" s="98">
        <f t="shared" si="36"/>
        <v>0</v>
      </c>
      <c r="AY51" s="98">
        <f t="shared" si="37"/>
        <v>0</v>
      </c>
      <c r="AZ51" s="98">
        <f t="shared" si="38"/>
        <v>0</v>
      </c>
      <c r="BA51" s="98">
        <f t="shared" si="39"/>
        <v>0</v>
      </c>
      <c r="BB51" s="98">
        <f t="shared" si="40"/>
        <v>0</v>
      </c>
      <c r="BC51" s="98">
        <f t="shared" si="41"/>
        <v>0</v>
      </c>
      <c r="BD51" s="98">
        <f t="shared" si="42"/>
        <v>0</v>
      </c>
      <c r="BE51" s="98">
        <f t="shared" si="43"/>
        <v>0</v>
      </c>
      <c r="BF51" s="98">
        <f t="shared" si="44"/>
        <v>0</v>
      </c>
      <c r="BG51" s="98">
        <f t="shared" si="45"/>
        <v>0</v>
      </c>
      <c r="BH51" s="100">
        <f t="shared" si="46"/>
        <v>0</v>
      </c>
    </row>
    <row r="52" spans="2:60">
      <c r="B52" s="130"/>
      <c r="C52" s="96"/>
      <c r="D52" s="97" t="str" cm="1">
        <f t="array" ref="D52">IFERROR(_xlfn.TEXTJOIN("", TRUE, MID(C52, _xlfn.SEQUENCE(LEN(C52), 1, LEN(C52), -1), 1)),"")</f>
        <v/>
      </c>
      <c r="E52" s="99"/>
      <c r="F52" s="95">
        <f>SUMPRODUCT($Y52:$AN52,Calc!$BO$5:$CD$5)-SUMPRODUCT(Calc!$U52:$X52,Calc!$BK$5:$BN$5)</f>
        <v>0</v>
      </c>
      <c r="G52" s="122" t="str">
        <f t="shared" si="1"/>
        <v/>
      </c>
      <c r="H52" s="120" t="e">
        <f t="shared" si="2"/>
        <v>#VALUE!</v>
      </c>
      <c r="I52" s="100">
        <f>SUMPRODUCT($Q52:$T52,Calc!$BK$10:$BN$10)-62.03</f>
        <v>-62.03</v>
      </c>
      <c r="J52" s="95" t="e">
        <f>(1-(0.287*($Q52+$T52)+0.059*($R52+$S52))/(SUM($Q52:$T52)))*(SUMPRODUCT(Calc!$Y52:$AN52,Calc!$BO$5:$CD$5)-SUMPRODUCT($U52:$X52,Calc!$BK$5:$BN$5)+SUMPRODUCT($AS52:$BH52,Calc!$BO$5:$CD$5)-SUMPRODUCT(Calc!$AO52:$AR52,Calc!$BK$5:$BN$5))</f>
        <v>#DIV/0!</v>
      </c>
      <c r="K52" s="120" t="str">
        <f t="shared" si="3"/>
        <v/>
      </c>
      <c r="L52" s="120" t="e">
        <f t="shared" si="4"/>
        <v>#VALUE!</v>
      </c>
      <c r="M52" s="100">
        <f>SUMPRODUCT($Q52:$T52,Calc!$BK$11:$BN$11)-79.2*2+17.01*2</f>
        <v>-124.38</v>
      </c>
      <c r="N52" s="125">
        <f>1000*SUMPRODUCT($Y52:$AN52,Calc!$BO$6:$CD$6)/(-10.8+SUMPRODUCT($Y52:$AN52,Calc!$BO$7:$CD$7)+1.987*LN($O$3*POWER(10,-6)/4))-273.15+16.6*LOG10($N$3*POWER(10,-3))</f>
        <v>-294.74709792802207</v>
      </c>
      <c r="O52" s="127">
        <f t="shared" si="47"/>
        <v>0</v>
      </c>
      <c r="P52" s="135" t="e">
        <f t="shared" si="5"/>
        <v>#DIV/0!</v>
      </c>
      <c r="Q52" s="118">
        <f t="shared" si="6"/>
        <v>0</v>
      </c>
      <c r="R52" s="98">
        <f t="shared" si="6"/>
        <v>0</v>
      </c>
      <c r="S52" s="98">
        <f t="shared" si="6"/>
        <v>0</v>
      </c>
      <c r="T52" s="98">
        <f t="shared" si="6"/>
        <v>0</v>
      </c>
      <c r="U52" s="98">
        <f t="shared" si="7"/>
        <v>0</v>
      </c>
      <c r="V52" s="98">
        <f t="shared" si="8"/>
        <v>0</v>
      </c>
      <c r="W52" s="98">
        <f t="shared" si="9"/>
        <v>0</v>
      </c>
      <c r="X52" s="98">
        <f t="shared" si="10"/>
        <v>0</v>
      </c>
      <c r="Y52" s="98">
        <f t="shared" si="11"/>
        <v>0</v>
      </c>
      <c r="Z52" s="98">
        <f t="shared" si="12"/>
        <v>0</v>
      </c>
      <c r="AA52" s="98">
        <f t="shared" si="13"/>
        <v>0</v>
      </c>
      <c r="AB52" s="98">
        <f t="shared" si="14"/>
        <v>0</v>
      </c>
      <c r="AC52" s="98">
        <f t="shared" si="15"/>
        <v>0</v>
      </c>
      <c r="AD52" s="98">
        <f t="shared" si="16"/>
        <v>0</v>
      </c>
      <c r="AE52" s="98">
        <f t="shared" si="17"/>
        <v>0</v>
      </c>
      <c r="AF52" s="98">
        <f t="shared" si="18"/>
        <v>0</v>
      </c>
      <c r="AG52" s="98">
        <f t="shared" si="19"/>
        <v>0</v>
      </c>
      <c r="AH52" s="98">
        <f t="shared" si="20"/>
        <v>0</v>
      </c>
      <c r="AI52" s="98">
        <f t="shared" si="21"/>
        <v>0</v>
      </c>
      <c r="AJ52" s="98">
        <f t="shared" si="22"/>
        <v>0</v>
      </c>
      <c r="AK52" s="98">
        <f t="shared" si="23"/>
        <v>0</v>
      </c>
      <c r="AL52" s="98">
        <f t="shared" si="24"/>
        <v>0</v>
      </c>
      <c r="AM52" s="98">
        <f t="shared" si="25"/>
        <v>0</v>
      </c>
      <c r="AN52" s="100">
        <f t="shared" si="26"/>
        <v>0</v>
      </c>
      <c r="AO52" s="118">
        <f t="shared" si="27"/>
        <v>0</v>
      </c>
      <c r="AP52" s="98">
        <f t="shared" si="28"/>
        <v>0</v>
      </c>
      <c r="AQ52" s="98">
        <f t="shared" si="29"/>
        <v>0</v>
      </c>
      <c r="AR52" s="98">
        <f t="shared" si="30"/>
        <v>0</v>
      </c>
      <c r="AS52" s="98">
        <f t="shared" si="31"/>
        <v>0</v>
      </c>
      <c r="AT52" s="98">
        <f t="shared" si="32"/>
        <v>0</v>
      </c>
      <c r="AU52" s="98">
        <f t="shared" si="33"/>
        <v>0</v>
      </c>
      <c r="AV52" s="98">
        <f t="shared" si="34"/>
        <v>0</v>
      </c>
      <c r="AW52" s="98">
        <f t="shared" si="35"/>
        <v>0</v>
      </c>
      <c r="AX52" s="98">
        <f t="shared" si="36"/>
        <v>0</v>
      </c>
      <c r="AY52" s="98">
        <f t="shared" si="37"/>
        <v>0</v>
      </c>
      <c r="AZ52" s="98">
        <f t="shared" si="38"/>
        <v>0</v>
      </c>
      <c r="BA52" s="98">
        <f t="shared" si="39"/>
        <v>0</v>
      </c>
      <c r="BB52" s="98">
        <f t="shared" si="40"/>
        <v>0</v>
      </c>
      <c r="BC52" s="98">
        <f t="shared" si="41"/>
        <v>0</v>
      </c>
      <c r="BD52" s="98">
        <f t="shared" si="42"/>
        <v>0</v>
      </c>
      <c r="BE52" s="98">
        <f t="shared" si="43"/>
        <v>0</v>
      </c>
      <c r="BF52" s="98">
        <f t="shared" si="44"/>
        <v>0</v>
      </c>
      <c r="BG52" s="98">
        <f t="shared" si="45"/>
        <v>0</v>
      </c>
      <c r="BH52" s="100">
        <f t="shared" si="46"/>
        <v>0</v>
      </c>
    </row>
    <row r="53" spans="2:60">
      <c r="B53" s="130"/>
      <c r="C53" s="96"/>
      <c r="D53" s="97" t="str" cm="1">
        <f t="array" ref="D53">IFERROR(_xlfn.TEXTJOIN("", TRUE, MID(C53, _xlfn.SEQUENCE(LEN(C53), 1, LEN(C53), -1), 1)),"")</f>
        <v/>
      </c>
      <c r="E53" s="99"/>
      <c r="F53" s="95">
        <f>SUMPRODUCT($Y53:$AN53,Calc!$BO$5:$CD$5)-SUMPRODUCT(Calc!$U53:$X53,Calc!$BK$5:$BN$5)</f>
        <v>0</v>
      </c>
      <c r="G53" s="122" t="str">
        <f t="shared" si="1"/>
        <v/>
      </c>
      <c r="H53" s="120" t="e">
        <f t="shared" si="2"/>
        <v>#VALUE!</v>
      </c>
      <c r="I53" s="100">
        <f>SUMPRODUCT($Q53:$T53,Calc!$BK$10:$BN$10)-62.03</f>
        <v>-62.03</v>
      </c>
      <c r="J53" s="95" t="e">
        <f>(1-(0.287*($Q53+$T53)+0.059*($R53+$S53))/(SUM($Q53:$T53)))*(SUMPRODUCT(Calc!$Y53:$AN53,Calc!$BO$5:$CD$5)-SUMPRODUCT($U53:$X53,Calc!$BK$5:$BN$5)+SUMPRODUCT($AS53:$BH53,Calc!$BO$5:$CD$5)-SUMPRODUCT(Calc!$AO53:$AR53,Calc!$BK$5:$BN$5))</f>
        <v>#DIV/0!</v>
      </c>
      <c r="K53" s="120" t="str">
        <f t="shared" si="3"/>
        <v/>
      </c>
      <c r="L53" s="120" t="e">
        <f t="shared" si="4"/>
        <v>#VALUE!</v>
      </c>
      <c r="M53" s="100">
        <f>SUMPRODUCT($Q53:$T53,Calc!$BK$11:$BN$11)-79.2*2+17.01*2</f>
        <v>-124.38</v>
      </c>
      <c r="N53" s="125">
        <f>1000*SUMPRODUCT($Y53:$AN53,Calc!$BO$6:$CD$6)/(-10.8+SUMPRODUCT($Y53:$AN53,Calc!$BO$7:$CD$7)+1.987*LN($O$3*POWER(10,-6)/4))-273.15+16.6*LOG10($N$3*POWER(10,-3))</f>
        <v>-294.74709792802207</v>
      </c>
      <c r="O53" s="127">
        <f t="shared" si="47"/>
        <v>0</v>
      </c>
      <c r="P53" s="135" t="e">
        <f t="shared" si="5"/>
        <v>#DIV/0!</v>
      </c>
      <c r="Q53" s="118">
        <f t="shared" si="6"/>
        <v>0</v>
      </c>
      <c r="R53" s="98">
        <f t="shared" si="6"/>
        <v>0</v>
      </c>
      <c r="S53" s="98">
        <f t="shared" si="6"/>
        <v>0</v>
      </c>
      <c r="T53" s="98">
        <f t="shared" si="6"/>
        <v>0</v>
      </c>
      <c r="U53" s="98">
        <f t="shared" si="7"/>
        <v>0</v>
      </c>
      <c r="V53" s="98">
        <f t="shared" si="8"/>
        <v>0</v>
      </c>
      <c r="W53" s="98">
        <f t="shared" si="9"/>
        <v>0</v>
      </c>
      <c r="X53" s="98">
        <f t="shared" si="10"/>
        <v>0</v>
      </c>
      <c r="Y53" s="98">
        <f t="shared" si="11"/>
        <v>0</v>
      </c>
      <c r="Z53" s="98">
        <f t="shared" si="12"/>
        <v>0</v>
      </c>
      <c r="AA53" s="98">
        <f t="shared" si="13"/>
        <v>0</v>
      </c>
      <c r="AB53" s="98">
        <f t="shared" si="14"/>
        <v>0</v>
      </c>
      <c r="AC53" s="98">
        <f t="shared" si="15"/>
        <v>0</v>
      </c>
      <c r="AD53" s="98">
        <f t="shared" si="16"/>
        <v>0</v>
      </c>
      <c r="AE53" s="98">
        <f t="shared" si="17"/>
        <v>0</v>
      </c>
      <c r="AF53" s="98">
        <f t="shared" si="18"/>
        <v>0</v>
      </c>
      <c r="AG53" s="98">
        <f t="shared" si="19"/>
        <v>0</v>
      </c>
      <c r="AH53" s="98">
        <f t="shared" si="20"/>
        <v>0</v>
      </c>
      <c r="AI53" s="98">
        <f t="shared" si="21"/>
        <v>0</v>
      </c>
      <c r="AJ53" s="98">
        <f t="shared" si="22"/>
        <v>0</v>
      </c>
      <c r="AK53" s="98">
        <f t="shared" si="23"/>
        <v>0</v>
      </c>
      <c r="AL53" s="98">
        <f t="shared" si="24"/>
        <v>0</v>
      </c>
      <c r="AM53" s="98">
        <f t="shared" si="25"/>
        <v>0</v>
      </c>
      <c r="AN53" s="100">
        <f t="shared" si="26"/>
        <v>0</v>
      </c>
      <c r="AO53" s="118">
        <f t="shared" si="27"/>
        <v>0</v>
      </c>
      <c r="AP53" s="98">
        <f t="shared" si="28"/>
        <v>0</v>
      </c>
      <c r="AQ53" s="98">
        <f t="shared" si="29"/>
        <v>0</v>
      </c>
      <c r="AR53" s="98">
        <f t="shared" si="30"/>
        <v>0</v>
      </c>
      <c r="AS53" s="98">
        <f t="shared" si="31"/>
        <v>0</v>
      </c>
      <c r="AT53" s="98">
        <f t="shared" si="32"/>
        <v>0</v>
      </c>
      <c r="AU53" s="98">
        <f t="shared" si="33"/>
        <v>0</v>
      </c>
      <c r="AV53" s="98">
        <f t="shared" si="34"/>
        <v>0</v>
      </c>
      <c r="AW53" s="98">
        <f t="shared" si="35"/>
        <v>0</v>
      </c>
      <c r="AX53" s="98">
        <f t="shared" si="36"/>
        <v>0</v>
      </c>
      <c r="AY53" s="98">
        <f t="shared" si="37"/>
        <v>0</v>
      </c>
      <c r="AZ53" s="98">
        <f t="shared" si="38"/>
        <v>0</v>
      </c>
      <c r="BA53" s="98">
        <f t="shared" si="39"/>
        <v>0</v>
      </c>
      <c r="BB53" s="98">
        <f t="shared" si="40"/>
        <v>0</v>
      </c>
      <c r="BC53" s="98">
        <f t="shared" si="41"/>
        <v>0</v>
      </c>
      <c r="BD53" s="98">
        <f t="shared" si="42"/>
        <v>0</v>
      </c>
      <c r="BE53" s="98">
        <f t="shared" si="43"/>
        <v>0</v>
      </c>
      <c r="BF53" s="98">
        <f t="shared" si="44"/>
        <v>0</v>
      </c>
      <c r="BG53" s="98">
        <f t="shared" si="45"/>
        <v>0</v>
      </c>
      <c r="BH53" s="100">
        <f t="shared" si="46"/>
        <v>0</v>
      </c>
    </row>
    <row r="54" spans="2:60">
      <c r="B54" s="130"/>
      <c r="C54" s="96"/>
      <c r="D54" s="97" t="str" cm="1">
        <f t="array" ref="D54">IFERROR(_xlfn.TEXTJOIN("", TRUE, MID(C54, _xlfn.SEQUENCE(LEN(C54), 1, LEN(C54), -1), 1)),"")</f>
        <v/>
      </c>
      <c r="E54" s="99"/>
      <c r="F54" s="95">
        <f>SUMPRODUCT($Y54:$AN54,Calc!$BO$5:$CD$5)-SUMPRODUCT(Calc!$U54:$X54,Calc!$BK$5:$BN$5)</f>
        <v>0</v>
      </c>
      <c r="G54" s="122" t="str">
        <f t="shared" si="1"/>
        <v/>
      </c>
      <c r="H54" s="120" t="e">
        <f t="shared" si="2"/>
        <v>#VALUE!</v>
      </c>
      <c r="I54" s="100">
        <f>SUMPRODUCT($Q54:$T54,Calc!$BK$10:$BN$10)-62.03</f>
        <v>-62.03</v>
      </c>
      <c r="J54" s="95" t="e">
        <f>(1-(0.287*($Q54+$T54)+0.059*($R54+$S54))/(SUM($Q54:$T54)))*(SUMPRODUCT(Calc!$Y54:$AN54,Calc!$BO$5:$CD$5)-SUMPRODUCT($U54:$X54,Calc!$BK$5:$BN$5)+SUMPRODUCT($AS54:$BH54,Calc!$BO$5:$CD$5)-SUMPRODUCT(Calc!$AO54:$AR54,Calc!$BK$5:$BN$5))</f>
        <v>#DIV/0!</v>
      </c>
      <c r="K54" s="120" t="str">
        <f t="shared" si="3"/>
        <v/>
      </c>
      <c r="L54" s="120" t="e">
        <f t="shared" si="4"/>
        <v>#VALUE!</v>
      </c>
      <c r="M54" s="100">
        <f>SUMPRODUCT($Q54:$T54,Calc!$BK$11:$BN$11)-79.2*2+17.01*2</f>
        <v>-124.38</v>
      </c>
      <c r="N54" s="125">
        <f>1000*SUMPRODUCT($Y54:$AN54,Calc!$BO$6:$CD$6)/(-10.8+SUMPRODUCT($Y54:$AN54,Calc!$BO$7:$CD$7)+1.987*LN($O$3*POWER(10,-6)/4))-273.15+16.6*LOG10($N$3*POWER(10,-3))</f>
        <v>-294.74709792802207</v>
      </c>
      <c r="O54" s="127">
        <f t="shared" si="47"/>
        <v>0</v>
      </c>
      <c r="P54" s="135" t="e">
        <f t="shared" si="5"/>
        <v>#DIV/0!</v>
      </c>
      <c r="Q54" s="118">
        <f t="shared" si="6"/>
        <v>0</v>
      </c>
      <c r="R54" s="98">
        <f t="shared" si="6"/>
        <v>0</v>
      </c>
      <c r="S54" s="98">
        <f t="shared" si="6"/>
        <v>0</v>
      </c>
      <c r="T54" s="98">
        <f t="shared" si="6"/>
        <v>0</v>
      </c>
      <c r="U54" s="98">
        <f t="shared" si="7"/>
        <v>0</v>
      </c>
      <c r="V54" s="98">
        <f t="shared" si="8"/>
        <v>0</v>
      </c>
      <c r="W54" s="98">
        <f t="shared" si="9"/>
        <v>0</v>
      </c>
      <c r="X54" s="98">
        <f t="shared" si="10"/>
        <v>0</v>
      </c>
      <c r="Y54" s="98">
        <f t="shared" si="11"/>
        <v>0</v>
      </c>
      <c r="Z54" s="98">
        <f t="shared" si="12"/>
        <v>0</v>
      </c>
      <c r="AA54" s="98">
        <f t="shared" si="13"/>
        <v>0</v>
      </c>
      <c r="AB54" s="98">
        <f t="shared" si="14"/>
        <v>0</v>
      </c>
      <c r="AC54" s="98">
        <f t="shared" si="15"/>
        <v>0</v>
      </c>
      <c r="AD54" s="98">
        <f t="shared" si="16"/>
        <v>0</v>
      </c>
      <c r="AE54" s="98">
        <f t="shared" si="17"/>
        <v>0</v>
      </c>
      <c r="AF54" s="98">
        <f t="shared" si="18"/>
        <v>0</v>
      </c>
      <c r="AG54" s="98">
        <f t="shared" si="19"/>
        <v>0</v>
      </c>
      <c r="AH54" s="98">
        <f t="shared" si="20"/>
        <v>0</v>
      </c>
      <c r="AI54" s="98">
        <f t="shared" si="21"/>
        <v>0</v>
      </c>
      <c r="AJ54" s="98">
        <f t="shared" si="22"/>
        <v>0</v>
      </c>
      <c r="AK54" s="98">
        <f t="shared" si="23"/>
        <v>0</v>
      </c>
      <c r="AL54" s="98">
        <f t="shared" si="24"/>
        <v>0</v>
      </c>
      <c r="AM54" s="98">
        <f t="shared" si="25"/>
        <v>0</v>
      </c>
      <c r="AN54" s="100">
        <f t="shared" si="26"/>
        <v>0</v>
      </c>
      <c r="AO54" s="118">
        <f t="shared" si="27"/>
        <v>0</v>
      </c>
      <c r="AP54" s="98">
        <f t="shared" si="28"/>
        <v>0</v>
      </c>
      <c r="AQ54" s="98">
        <f t="shared" si="29"/>
        <v>0</v>
      </c>
      <c r="AR54" s="98">
        <f t="shared" si="30"/>
        <v>0</v>
      </c>
      <c r="AS54" s="98">
        <f t="shared" si="31"/>
        <v>0</v>
      </c>
      <c r="AT54" s="98">
        <f t="shared" si="32"/>
        <v>0</v>
      </c>
      <c r="AU54" s="98">
        <f t="shared" si="33"/>
        <v>0</v>
      </c>
      <c r="AV54" s="98">
        <f t="shared" si="34"/>
        <v>0</v>
      </c>
      <c r="AW54" s="98">
        <f t="shared" si="35"/>
        <v>0</v>
      </c>
      <c r="AX54" s="98">
        <f t="shared" si="36"/>
        <v>0</v>
      </c>
      <c r="AY54" s="98">
        <f t="shared" si="37"/>
        <v>0</v>
      </c>
      <c r="AZ54" s="98">
        <f t="shared" si="38"/>
        <v>0</v>
      </c>
      <c r="BA54" s="98">
        <f t="shared" si="39"/>
        <v>0</v>
      </c>
      <c r="BB54" s="98">
        <f t="shared" si="40"/>
        <v>0</v>
      </c>
      <c r="BC54" s="98">
        <f t="shared" si="41"/>
        <v>0</v>
      </c>
      <c r="BD54" s="98">
        <f t="shared" si="42"/>
        <v>0</v>
      </c>
      <c r="BE54" s="98">
        <f t="shared" si="43"/>
        <v>0</v>
      </c>
      <c r="BF54" s="98">
        <f t="shared" si="44"/>
        <v>0</v>
      </c>
      <c r="BG54" s="98">
        <f t="shared" si="45"/>
        <v>0</v>
      </c>
      <c r="BH54" s="100">
        <f t="shared" si="46"/>
        <v>0</v>
      </c>
    </row>
    <row r="55" spans="2:60" ht="15" thickBot="1">
      <c r="B55" s="131"/>
      <c r="C55" s="102"/>
      <c r="D55" s="103" t="str" cm="1">
        <f t="array" ref="D55">IFERROR(_xlfn.TEXTJOIN("", TRUE, MID(C55, _xlfn.SEQUENCE(LEN(C55), 1, LEN(C55), -1), 1)),"")</f>
        <v/>
      </c>
      <c r="E55" s="105"/>
      <c r="F55" s="101">
        <f>SUMPRODUCT($Y55:$AN55,Calc!$BO$5:$CD$5)-SUMPRODUCT(Calc!$U55:$X55,Calc!$BK$5:$BN$5)</f>
        <v>0</v>
      </c>
      <c r="G55" s="123" t="str">
        <f t="shared" si="1"/>
        <v/>
      </c>
      <c r="H55" s="121" t="e">
        <f t="shared" si="2"/>
        <v>#VALUE!</v>
      </c>
      <c r="I55" s="106">
        <f>SUMPRODUCT($Q55:$T55,Calc!$BK$10:$BN$10)-62.03</f>
        <v>-62.03</v>
      </c>
      <c r="J55" s="101" t="e">
        <f>(1-(0.287*($Q55+$T55)+0.059*($R55+$S55))/(SUM($Q55:$T55)))*(SUMPRODUCT(Calc!$Y55:$AN55,Calc!$BO$5:$CD$5)-SUMPRODUCT($U55:$X55,Calc!$BK$5:$BN$5)+SUMPRODUCT($AS55:$BH55,Calc!$BO$5:$CD$5)-SUMPRODUCT(Calc!$AO55:$AR55,Calc!$BK$5:$BN$5))</f>
        <v>#DIV/0!</v>
      </c>
      <c r="K55" s="121" t="str">
        <f t="shared" si="3"/>
        <v/>
      </c>
      <c r="L55" s="121" t="e">
        <f t="shared" si="4"/>
        <v>#VALUE!</v>
      </c>
      <c r="M55" s="106">
        <f>SUMPRODUCT($Q55:$T55,Calc!$BK$11:$BN$11)-79.2*2+17.01*2</f>
        <v>-124.38</v>
      </c>
      <c r="N55" s="126">
        <f>1000*SUMPRODUCT($Y55:$AN55,Calc!$BO$6:$CD$6)/(-10.8+SUMPRODUCT($Y55:$AN55,Calc!$BO$7:$CD$7)+1.987*LN($O$3*POWER(10,-6)/4))-273.15+16.6*LOG10($N$3*POWER(10,-3))</f>
        <v>-294.74709792802207</v>
      </c>
      <c r="O55" s="128">
        <f t="shared" si="47"/>
        <v>0</v>
      </c>
      <c r="P55" s="136" t="e">
        <f t="shared" si="5"/>
        <v>#DIV/0!</v>
      </c>
      <c r="Q55" s="119">
        <f t="shared" si="6"/>
        <v>0</v>
      </c>
      <c r="R55" s="104">
        <f t="shared" si="6"/>
        <v>0</v>
      </c>
      <c r="S55" s="104">
        <f t="shared" si="6"/>
        <v>0</v>
      </c>
      <c r="T55" s="104">
        <f t="shared" si="6"/>
        <v>0</v>
      </c>
      <c r="U55" s="104">
        <f t="shared" si="7"/>
        <v>0</v>
      </c>
      <c r="V55" s="104">
        <f t="shared" si="8"/>
        <v>0</v>
      </c>
      <c r="W55" s="104">
        <f t="shared" si="9"/>
        <v>0</v>
      </c>
      <c r="X55" s="104">
        <f t="shared" si="10"/>
        <v>0</v>
      </c>
      <c r="Y55" s="104">
        <f t="shared" si="11"/>
        <v>0</v>
      </c>
      <c r="Z55" s="104">
        <f t="shared" si="12"/>
        <v>0</v>
      </c>
      <c r="AA55" s="104">
        <f t="shared" si="13"/>
        <v>0</v>
      </c>
      <c r="AB55" s="104">
        <f t="shared" si="14"/>
        <v>0</v>
      </c>
      <c r="AC55" s="104">
        <f t="shared" si="15"/>
        <v>0</v>
      </c>
      <c r="AD55" s="104">
        <f t="shared" si="16"/>
        <v>0</v>
      </c>
      <c r="AE55" s="104">
        <f t="shared" si="17"/>
        <v>0</v>
      </c>
      <c r="AF55" s="104">
        <f t="shared" si="18"/>
        <v>0</v>
      </c>
      <c r="AG55" s="104">
        <f t="shared" si="19"/>
        <v>0</v>
      </c>
      <c r="AH55" s="104">
        <f t="shared" si="20"/>
        <v>0</v>
      </c>
      <c r="AI55" s="104">
        <f t="shared" si="21"/>
        <v>0</v>
      </c>
      <c r="AJ55" s="104">
        <f t="shared" si="22"/>
        <v>0</v>
      </c>
      <c r="AK55" s="104">
        <f t="shared" si="23"/>
        <v>0</v>
      </c>
      <c r="AL55" s="104">
        <f t="shared" si="24"/>
        <v>0</v>
      </c>
      <c r="AM55" s="104">
        <f t="shared" si="25"/>
        <v>0</v>
      </c>
      <c r="AN55" s="106">
        <f t="shared" si="26"/>
        <v>0</v>
      </c>
      <c r="AO55" s="119">
        <f t="shared" si="27"/>
        <v>0</v>
      </c>
      <c r="AP55" s="104">
        <f t="shared" si="28"/>
        <v>0</v>
      </c>
      <c r="AQ55" s="104">
        <f t="shared" si="29"/>
        <v>0</v>
      </c>
      <c r="AR55" s="104">
        <f t="shared" si="30"/>
        <v>0</v>
      </c>
      <c r="AS55" s="104">
        <f t="shared" si="31"/>
        <v>0</v>
      </c>
      <c r="AT55" s="104">
        <f t="shared" si="32"/>
        <v>0</v>
      </c>
      <c r="AU55" s="104">
        <f t="shared" si="33"/>
        <v>0</v>
      </c>
      <c r="AV55" s="104">
        <f t="shared" si="34"/>
        <v>0</v>
      </c>
      <c r="AW55" s="104">
        <f t="shared" si="35"/>
        <v>0</v>
      </c>
      <c r="AX55" s="104">
        <f t="shared" si="36"/>
        <v>0</v>
      </c>
      <c r="AY55" s="104">
        <f t="shared" si="37"/>
        <v>0</v>
      </c>
      <c r="AZ55" s="104">
        <f t="shared" si="38"/>
        <v>0</v>
      </c>
      <c r="BA55" s="104">
        <f t="shared" si="39"/>
        <v>0</v>
      </c>
      <c r="BB55" s="104">
        <f t="shared" si="40"/>
        <v>0</v>
      </c>
      <c r="BC55" s="104">
        <f t="shared" si="41"/>
        <v>0</v>
      </c>
      <c r="BD55" s="104">
        <f t="shared" si="42"/>
        <v>0</v>
      </c>
      <c r="BE55" s="104">
        <f t="shared" si="43"/>
        <v>0</v>
      </c>
      <c r="BF55" s="104">
        <f t="shared" si="44"/>
        <v>0</v>
      </c>
      <c r="BG55" s="104">
        <f t="shared" si="45"/>
        <v>0</v>
      </c>
      <c r="BH55" s="106">
        <f t="shared" si="46"/>
        <v>0</v>
      </c>
    </row>
  </sheetData>
  <sheetProtection sheet="1" objects="1" scenarios="1" formatCells="0" formatColumns="0" formatRows="0"/>
  <protectedRanges>
    <protectedRange sqref="N3:O3 B6:C55 E6:E55" name="ユーザー入力欄"/>
  </protectedRanges>
  <phoneticPr fontId="2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N24"/>
  <sheetViews>
    <sheetView zoomScale="90" zoomScaleNormal="90" workbookViewId="0">
      <selection activeCell="L10" sqref="L10"/>
    </sheetView>
  </sheetViews>
  <sheetFormatPr defaultColWidth="8.08984375" defaultRowHeight="13.5"/>
  <cols>
    <col min="1" max="1" width="4.26953125" style="2" customWidth="1"/>
    <col min="2" max="2" width="22.08984375" style="4" customWidth="1"/>
    <col min="3" max="3" width="11.7265625" style="4" customWidth="1"/>
    <col min="4" max="4" width="9.26953125" style="4" customWidth="1"/>
    <col min="5" max="5" width="13" style="4" customWidth="1"/>
    <col min="6" max="6" width="3.6328125" style="4" customWidth="1"/>
    <col min="7" max="8" width="5" style="6" customWidth="1"/>
    <col min="9" max="9" width="2.08984375" style="6" customWidth="1"/>
    <col min="10" max="10" width="5" style="6" customWidth="1"/>
    <col min="11" max="11" width="3.453125" style="6" customWidth="1"/>
    <col min="12" max="12" width="5.453125" style="6" customWidth="1"/>
    <col min="13" max="13" width="2.36328125" style="6" customWidth="1"/>
    <col min="14" max="14" width="4.6328125" style="7" customWidth="1"/>
    <col min="15" max="16384" width="8.08984375" style="4"/>
  </cols>
  <sheetData>
    <row r="1" spans="1:14" ht="30" customHeight="1" thickBot="1">
      <c r="B1" s="3" t="s">
        <v>48</v>
      </c>
      <c r="E1" s="5"/>
    </row>
    <row r="2" spans="1:14" ht="17" thickBot="1">
      <c r="B2" s="8" t="s">
        <v>5</v>
      </c>
      <c r="C2" s="9" t="s">
        <v>38</v>
      </c>
      <c r="D2" s="10">
        <v>130</v>
      </c>
    </row>
    <row r="3" spans="1:14">
      <c r="A3" s="4"/>
      <c r="B3" s="11" t="s">
        <v>6</v>
      </c>
      <c r="C3" s="12">
        <v>20</v>
      </c>
      <c r="D3" s="13">
        <f>C16/C3*D12</f>
        <v>2</v>
      </c>
      <c r="E3" s="14"/>
      <c r="F3" s="15"/>
    </row>
    <row r="4" spans="1:14">
      <c r="A4" s="4"/>
      <c r="B4" s="11" t="s">
        <v>45</v>
      </c>
      <c r="C4" s="16">
        <v>50</v>
      </c>
      <c r="D4" s="17">
        <f>D12*0.1</f>
        <v>40</v>
      </c>
      <c r="E4" s="14"/>
      <c r="L4" s="18"/>
      <c r="M4" s="19"/>
      <c r="N4" s="18"/>
    </row>
    <row r="5" spans="1:14">
      <c r="A5" s="4"/>
      <c r="B5" s="11" t="s">
        <v>4</v>
      </c>
      <c r="C5" s="16">
        <v>2</v>
      </c>
      <c r="D5" s="17">
        <f>D12/5/C5</f>
        <v>40</v>
      </c>
      <c r="E5" s="14"/>
      <c r="G5" s="20">
        <v>94</v>
      </c>
      <c r="H5" s="21">
        <v>94</v>
      </c>
      <c r="L5" s="22"/>
      <c r="M5" s="19"/>
      <c r="N5" s="22"/>
    </row>
    <row r="6" spans="1:14">
      <c r="A6" s="4"/>
      <c r="B6" s="23" t="s">
        <v>1</v>
      </c>
      <c r="C6" s="24">
        <v>50</v>
      </c>
      <c r="D6" s="25">
        <f>D12*C14/C6</f>
        <v>8</v>
      </c>
      <c r="E6" s="14" t="s">
        <v>40</v>
      </c>
      <c r="G6" s="26">
        <v>8.3333333333333329E-2</v>
      </c>
      <c r="H6" s="27">
        <v>2.0833333333333332E-2</v>
      </c>
      <c r="I6" s="137"/>
      <c r="L6" s="28">
        <v>74</v>
      </c>
      <c r="M6" s="19"/>
      <c r="N6" s="22"/>
    </row>
    <row r="7" spans="1:14">
      <c r="A7" s="4"/>
      <c r="B7" s="11" t="s">
        <v>0</v>
      </c>
      <c r="C7" s="24">
        <v>50</v>
      </c>
      <c r="D7" s="29">
        <f>D12*C15/C7</f>
        <v>8</v>
      </c>
      <c r="E7" s="14"/>
      <c r="G7" s="30"/>
      <c r="I7" s="137"/>
      <c r="J7" s="21">
        <v>60</v>
      </c>
      <c r="K7" s="31"/>
      <c r="L7" s="32">
        <v>2.0833333333333332E-2</v>
      </c>
      <c r="M7" s="138"/>
      <c r="N7" s="22"/>
    </row>
    <row r="8" spans="1:14" ht="16.5" thickBot="1">
      <c r="A8" s="4"/>
      <c r="B8" s="11" t="s">
        <v>49</v>
      </c>
      <c r="C8" s="33"/>
      <c r="D8" s="34">
        <f>D9-SUM(D3:D7)</f>
        <v>298</v>
      </c>
      <c r="E8" s="35"/>
      <c r="G8" s="30"/>
      <c r="J8" s="27">
        <v>1.3888888888888889E-3</v>
      </c>
      <c r="L8" s="22"/>
      <c r="M8" s="138"/>
      <c r="N8" s="36">
        <v>4</v>
      </c>
    </row>
    <row r="9" spans="1:14" ht="18.5" thickBot="1">
      <c r="A9" s="4"/>
      <c r="B9" s="139" t="s">
        <v>7</v>
      </c>
      <c r="C9" s="140"/>
      <c r="D9" s="37">
        <f>D12-D11</f>
        <v>396</v>
      </c>
      <c r="E9" s="35"/>
      <c r="G9" s="30"/>
      <c r="L9" s="22"/>
      <c r="M9" s="38"/>
      <c r="N9" s="22" t="s">
        <v>50</v>
      </c>
    </row>
    <row r="10" spans="1:14" ht="14" thickBot="1">
      <c r="A10" s="4"/>
      <c r="B10" s="39"/>
      <c r="C10" s="40"/>
      <c r="D10" s="41"/>
      <c r="E10" s="35"/>
      <c r="G10" s="30"/>
      <c r="K10" s="42" t="s">
        <v>3</v>
      </c>
      <c r="L10" s="58">
        <v>30</v>
      </c>
      <c r="M10" s="19"/>
      <c r="N10" s="22"/>
    </row>
    <row r="11" spans="1:14" ht="14" thickBot="1">
      <c r="A11" s="4"/>
      <c r="B11" s="43" t="s">
        <v>46</v>
      </c>
      <c r="C11" s="44" t="s">
        <v>47</v>
      </c>
      <c r="D11" s="45">
        <v>4</v>
      </c>
      <c r="E11" s="35"/>
    </row>
    <row r="12" spans="1:14" ht="14" thickBot="1">
      <c r="A12" s="4"/>
      <c r="B12" s="139" t="s">
        <v>2</v>
      </c>
      <c r="C12" s="140"/>
      <c r="D12" s="46">
        <f>C18*50</f>
        <v>400</v>
      </c>
    </row>
    <row r="13" spans="1:14" ht="16.5">
      <c r="A13" s="4"/>
      <c r="C13" s="47" t="s">
        <v>41</v>
      </c>
    </row>
    <row r="14" spans="1:14" ht="18">
      <c r="B14" s="48" t="s">
        <v>1</v>
      </c>
      <c r="C14" s="49">
        <v>1</v>
      </c>
      <c r="D14" s="4" t="s">
        <v>39</v>
      </c>
      <c r="E14" s="4" t="s">
        <v>51</v>
      </c>
      <c r="G14" s="50" t="s">
        <v>52</v>
      </c>
    </row>
    <row r="15" spans="1:14" ht="18">
      <c r="A15" s="4"/>
      <c r="B15" s="48" t="s">
        <v>0</v>
      </c>
      <c r="C15" s="49">
        <v>1</v>
      </c>
      <c r="E15" s="4">
        <f>D12*C14*0.25*325*2*D2/10^6</f>
        <v>8.4499999999999993</v>
      </c>
      <c r="F15" s="4" t="s">
        <v>8</v>
      </c>
      <c r="G15" s="4" t="s">
        <v>53</v>
      </c>
    </row>
    <row r="16" spans="1:14" ht="14">
      <c r="A16" s="4"/>
      <c r="B16" s="51" t="s">
        <v>15</v>
      </c>
      <c r="C16" s="52">
        <v>0.1</v>
      </c>
      <c r="D16" s="53" t="s">
        <v>42</v>
      </c>
      <c r="E16" s="4">
        <f>D12*POWER(10,-6)*C14*POWER(10,-6)*0.25*POWER(10,9)/(100*POWER(10,-6))</f>
        <v>1000</v>
      </c>
      <c r="F16" s="4" t="s">
        <v>37</v>
      </c>
      <c r="G16" s="50" t="s">
        <v>54</v>
      </c>
    </row>
    <row r="17" spans="1:14">
      <c r="A17" s="4"/>
      <c r="H17" s="7"/>
      <c r="I17" s="4"/>
      <c r="J17" s="4"/>
      <c r="K17" s="4"/>
      <c r="L17" s="4"/>
      <c r="M17" s="4"/>
      <c r="N17" s="4"/>
    </row>
    <row r="18" spans="1:14" ht="18">
      <c r="B18" s="6" t="s">
        <v>55</v>
      </c>
      <c r="C18" s="54">
        <v>8</v>
      </c>
      <c r="D18" s="4" t="s">
        <v>56</v>
      </c>
      <c r="E18" s="6"/>
      <c r="F18" s="6"/>
      <c r="H18" s="7"/>
      <c r="I18" s="4"/>
      <c r="J18" s="4"/>
      <c r="K18" s="4"/>
      <c r="L18" s="4"/>
      <c r="M18" s="4"/>
      <c r="N18" s="4"/>
    </row>
    <row r="19" spans="1:14">
      <c r="E19" s="6"/>
      <c r="F19" s="6"/>
      <c r="H19" s="7"/>
      <c r="I19" s="4"/>
      <c r="J19" s="4"/>
      <c r="K19" s="4"/>
      <c r="L19" s="4"/>
      <c r="M19" s="4"/>
      <c r="N19" s="4"/>
    </row>
    <row r="20" spans="1:14">
      <c r="B20" s="1" t="s">
        <v>43</v>
      </c>
      <c r="E20" s="6"/>
      <c r="F20" s="6"/>
      <c r="H20" s="7"/>
      <c r="I20" s="4"/>
      <c r="J20" s="4"/>
      <c r="K20" s="4"/>
      <c r="L20" s="4"/>
      <c r="M20" s="4"/>
      <c r="N20" s="4"/>
    </row>
    <row r="21" spans="1:14">
      <c r="B21" s="4" t="s">
        <v>44</v>
      </c>
      <c r="E21" s="6"/>
      <c r="F21" s="6"/>
    </row>
    <row r="22" spans="1:14">
      <c r="B22" s="4" t="s">
        <v>9</v>
      </c>
      <c r="G22" s="56"/>
      <c r="H22" s="56"/>
      <c r="I22" s="56"/>
      <c r="J22" s="56"/>
      <c r="K22" s="56"/>
      <c r="L22" s="56"/>
      <c r="M22" s="56"/>
      <c r="N22" s="56"/>
    </row>
    <row r="23" spans="1:14">
      <c r="E23" s="55"/>
      <c r="F23" s="55"/>
    </row>
    <row r="24" spans="1:14" s="55" customFormat="1">
      <c r="A24" s="57"/>
      <c r="B24" s="4"/>
      <c r="C24" s="4"/>
      <c r="D24" s="4"/>
      <c r="E24" s="4"/>
      <c r="F24" s="4"/>
      <c r="G24" s="6"/>
      <c r="H24" s="6"/>
      <c r="I24" s="6"/>
      <c r="J24" s="6"/>
      <c r="K24" s="6"/>
      <c r="L24" s="6"/>
      <c r="M24" s="6"/>
      <c r="N24" s="7"/>
    </row>
  </sheetData>
  <mergeCells count="4">
    <mergeCell ref="I6:I7"/>
    <mergeCell ref="M7:M8"/>
    <mergeCell ref="B9:C9"/>
    <mergeCell ref="B12:C12"/>
  </mergeCells>
  <phoneticPr fontId="2"/>
  <pageMargins left="0.78700000000000003" right="0.78700000000000003" top="0.98399999999999999" bottom="0.98399999999999999" header="0.51200000000000001" footer="0.51200000000000001"/>
  <pageSetup paperSize="9" scale="74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Calc</vt:lpstr>
      <vt:lpstr>PCR (Dash)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Yuichiro</dc:creator>
  <cp:lastModifiedBy>HIBINO MASAKI / 日比野 柾</cp:lastModifiedBy>
  <cp:lastPrinted>2018-10-04T01:20:39Z</cp:lastPrinted>
  <dcterms:created xsi:type="dcterms:W3CDTF">2016-06-08T03:32:37Z</dcterms:created>
  <dcterms:modified xsi:type="dcterms:W3CDTF">2025-09-12T08:46:26Z</dcterms:modified>
</cp:coreProperties>
</file>